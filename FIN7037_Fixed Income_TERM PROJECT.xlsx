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nayjoshi/Downloads/"/>
    </mc:Choice>
  </mc:AlternateContent>
  <xr:revisionPtr revIDLastSave="0" documentId="13_ncr:1_{FB6BCABB-6FF5-584E-AB6D-01569BC9235C}" xr6:coauthVersionLast="47" xr6:coauthVersionMax="47" xr10:uidLastSave="{00000000-0000-0000-0000-000000000000}"/>
  <bookViews>
    <workbookView xWindow="380" yWindow="680" windowWidth="28040" windowHeight="15580" xr2:uid="{96D1E798-6B99-3946-BCC3-CC9E732FCF10}"/>
  </bookViews>
  <sheets>
    <sheet name="Projec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L374" i="1" l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B7" i="1"/>
  <c r="L14" i="1" s="1"/>
  <c r="L375" i="1" s="1"/>
  <c r="L376" i="1" s="1"/>
  <c r="L377" i="1" s="1"/>
  <c r="B15" i="1" l="1"/>
  <c r="D15" i="1" s="1"/>
  <c r="B12" i="1"/>
  <c r="C371" i="1" l="1"/>
  <c r="C367" i="1"/>
  <c r="C363" i="1"/>
  <c r="C359" i="1"/>
  <c r="C355" i="1"/>
  <c r="C351" i="1"/>
  <c r="C347" i="1"/>
  <c r="C343" i="1"/>
  <c r="C339" i="1"/>
  <c r="C335" i="1"/>
  <c r="C331" i="1"/>
  <c r="C327" i="1"/>
  <c r="C323" i="1"/>
  <c r="C319" i="1"/>
  <c r="C315" i="1"/>
  <c r="C311" i="1"/>
  <c r="C307" i="1"/>
  <c r="C303" i="1"/>
  <c r="C299" i="1"/>
  <c r="C295" i="1"/>
  <c r="C291" i="1"/>
  <c r="C287" i="1"/>
  <c r="C283" i="1"/>
  <c r="C279" i="1"/>
  <c r="C275" i="1"/>
  <c r="C271" i="1"/>
  <c r="C267" i="1"/>
  <c r="C263" i="1"/>
  <c r="C259" i="1"/>
  <c r="C255" i="1"/>
  <c r="C251" i="1"/>
  <c r="C247" i="1"/>
  <c r="C243" i="1"/>
  <c r="C239" i="1"/>
  <c r="C235" i="1"/>
  <c r="C231" i="1"/>
  <c r="C227" i="1"/>
  <c r="C223" i="1"/>
  <c r="C219" i="1"/>
  <c r="C215" i="1"/>
  <c r="C211" i="1"/>
  <c r="C207" i="1"/>
  <c r="C203" i="1"/>
  <c r="C199" i="1"/>
  <c r="C195" i="1"/>
  <c r="C191" i="1"/>
  <c r="C187" i="1"/>
  <c r="C183" i="1"/>
  <c r="C179" i="1"/>
  <c r="C175" i="1"/>
  <c r="C171" i="1"/>
  <c r="C167" i="1"/>
  <c r="C163" i="1"/>
  <c r="C159" i="1"/>
  <c r="C155" i="1"/>
  <c r="C151" i="1"/>
  <c r="C147" i="1"/>
  <c r="C143" i="1"/>
  <c r="C139" i="1"/>
  <c r="C135" i="1"/>
  <c r="C131" i="1"/>
  <c r="C127" i="1"/>
  <c r="C123" i="1"/>
  <c r="C119" i="1"/>
  <c r="C115" i="1"/>
  <c r="C111" i="1"/>
  <c r="C107" i="1"/>
  <c r="C103" i="1"/>
  <c r="C99" i="1"/>
  <c r="C95" i="1"/>
  <c r="C91" i="1"/>
  <c r="C87" i="1"/>
  <c r="C83" i="1"/>
  <c r="C79" i="1"/>
  <c r="C75" i="1"/>
  <c r="C71" i="1"/>
  <c r="C67" i="1"/>
  <c r="C63" i="1"/>
  <c r="C59" i="1"/>
  <c r="C55" i="1"/>
  <c r="C51" i="1"/>
  <c r="C374" i="1"/>
  <c r="C370" i="1"/>
  <c r="C366" i="1"/>
  <c r="C362" i="1"/>
  <c r="C358" i="1"/>
  <c r="C354" i="1"/>
  <c r="C350" i="1"/>
  <c r="C346" i="1"/>
  <c r="C342" i="1"/>
  <c r="C338" i="1"/>
  <c r="C334" i="1"/>
  <c r="C330" i="1"/>
  <c r="C326" i="1"/>
  <c r="C322" i="1"/>
  <c r="C318" i="1"/>
  <c r="C314" i="1"/>
  <c r="C310" i="1"/>
  <c r="C306" i="1"/>
  <c r="C302" i="1"/>
  <c r="C298" i="1"/>
  <c r="C294" i="1"/>
  <c r="C290" i="1"/>
  <c r="C286" i="1"/>
  <c r="C282" i="1"/>
  <c r="C278" i="1"/>
  <c r="C274" i="1"/>
  <c r="C270" i="1"/>
  <c r="C266" i="1"/>
  <c r="C262" i="1"/>
  <c r="C258" i="1"/>
  <c r="C254" i="1"/>
  <c r="C250" i="1"/>
  <c r="C246" i="1"/>
  <c r="C242" i="1"/>
  <c r="C238" i="1"/>
  <c r="C234" i="1"/>
  <c r="C230" i="1"/>
  <c r="C226" i="1"/>
  <c r="C222" i="1"/>
  <c r="C218" i="1"/>
  <c r="C214" i="1"/>
  <c r="C210" i="1"/>
  <c r="C206" i="1"/>
  <c r="C202" i="1"/>
  <c r="C198" i="1"/>
  <c r="C194" i="1"/>
  <c r="C190" i="1"/>
  <c r="C186" i="1"/>
  <c r="C182" i="1"/>
  <c r="C178" i="1"/>
  <c r="C174" i="1"/>
  <c r="C170" i="1"/>
  <c r="C166" i="1"/>
  <c r="C162" i="1"/>
  <c r="C158" i="1"/>
  <c r="C154" i="1"/>
  <c r="C150" i="1"/>
  <c r="C146" i="1"/>
  <c r="C142" i="1"/>
  <c r="C138" i="1"/>
  <c r="C134" i="1"/>
  <c r="C130" i="1"/>
  <c r="C126" i="1"/>
  <c r="C122" i="1"/>
  <c r="C118" i="1"/>
  <c r="C114" i="1"/>
  <c r="C110" i="1"/>
  <c r="C106" i="1"/>
  <c r="C102" i="1"/>
  <c r="C98" i="1"/>
  <c r="C94" i="1"/>
  <c r="C90" i="1"/>
  <c r="C86" i="1"/>
  <c r="C82" i="1"/>
  <c r="C78" i="1"/>
  <c r="C74" i="1"/>
  <c r="C70" i="1"/>
  <c r="C66" i="1"/>
  <c r="C62" i="1"/>
  <c r="C58" i="1"/>
  <c r="C54" i="1"/>
  <c r="C50" i="1"/>
  <c r="C46" i="1"/>
  <c r="C42" i="1"/>
  <c r="C373" i="1"/>
  <c r="C369" i="1"/>
  <c r="C365" i="1"/>
  <c r="C361" i="1"/>
  <c r="C357" i="1"/>
  <c r="C353" i="1"/>
  <c r="C349" i="1"/>
  <c r="C345" i="1"/>
  <c r="C341" i="1"/>
  <c r="C337" i="1"/>
  <c r="C333" i="1"/>
  <c r="C329" i="1"/>
  <c r="C325" i="1"/>
  <c r="C321" i="1"/>
  <c r="C317" i="1"/>
  <c r="C313" i="1"/>
  <c r="C309" i="1"/>
  <c r="C305" i="1"/>
  <c r="C301" i="1"/>
  <c r="C297" i="1"/>
  <c r="C293" i="1"/>
  <c r="C289" i="1"/>
  <c r="C285" i="1"/>
  <c r="C281" i="1"/>
  <c r="C277" i="1"/>
  <c r="C273" i="1"/>
  <c r="C269" i="1"/>
  <c r="C265" i="1"/>
  <c r="C261" i="1"/>
  <c r="C257" i="1"/>
  <c r="C253" i="1"/>
  <c r="C249" i="1"/>
  <c r="C245" i="1"/>
  <c r="C241" i="1"/>
  <c r="C237" i="1"/>
  <c r="C233" i="1"/>
  <c r="C229" i="1"/>
  <c r="C225" i="1"/>
  <c r="C221" i="1"/>
  <c r="C217" i="1"/>
  <c r="C213" i="1"/>
  <c r="C209" i="1"/>
  <c r="C205" i="1"/>
  <c r="C201" i="1"/>
  <c r="C197" i="1"/>
  <c r="C193" i="1"/>
  <c r="C189" i="1"/>
  <c r="C372" i="1"/>
  <c r="C368" i="1"/>
  <c r="C364" i="1"/>
  <c r="C360" i="1"/>
  <c r="C356" i="1"/>
  <c r="C352" i="1"/>
  <c r="C348" i="1"/>
  <c r="C344" i="1"/>
  <c r="C340" i="1"/>
  <c r="C336" i="1"/>
  <c r="C332" i="1"/>
  <c r="C328" i="1"/>
  <c r="C324" i="1"/>
  <c r="C320" i="1"/>
  <c r="C316" i="1"/>
  <c r="C312" i="1"/>
  <c r="C308" i="1"/>
  <c r="C304" i="1"/>
  <c r="C300" i="1"/>
  <c r="C296" i="1"/>
  <c r="C292" i="1"/>
  <c r="C288" i="1"/>
  <c r="C284" i="1"/>
  <c r="C280" i="1"/>
  <c r="C276" i="1"/>
  <c r="C272" i="1"/>
  <c r="C268" i="1"/>
  <c r="C264" i="1"/>
  <c r="C260" i="1"/>
  <c r="C256" i="1"/>
  <c r="C252" i="1"/>
  <c r="C248" i="1"/>
  <c r="C244" i="1"/>
  <c r="C240" i="1"/>
  <c r="C236" i="1"/>
  <c r="C232" i="1"/>
  <c r="C228" i="1"/>
  <c r="C224" i="1"/>
  <c r="C220" i="1"/>
  <c r="C216" i="1"/>
  <c r="C212" i="1"/>
  <c r="C208" i="1"/>
  <c r="C204" i="1"/>
  <c r="C200" i="1"/>
  <c r="C196" i="1"/>
  <c r="C192" i="1"/>
  <c r="C188" i="1"/>
  <c r="C184" i="1"/>
  <c r="C180" i="1"/>
  <c r="C176" i="1"/>
  <c r="C172" i="1"/>
  <c r="C185" i="1"/>
  <c r="C169" i="1"/>
  <c r="C161" i="1"/>
  <c r="C153" i="1"/>
  <c r="C145" i="1"/>
  <c r="C137" i="1"/>
  <c r="C129" i="1"/>
  <c r="C121" i="1"/>
  <c r="C113" i="1"/>
  <c r="C105" i="1"/>
  <c r="C97" i="1"/>
  <c r="C89" i="1"/>
  <c r="C81" i="1"/>
  <c r="C73" i="1"/>
  <c r="C65" i="1"/>
  <c r="C57" i="1"/>
  <c r="C49" i="1"/>
  <c r="C44" i="1"/>
  <c r="C39" i="1"/>
  <c r="C35" i="1"/>
  <c r="C31" i="1"/>
  <c r="C27" i="1"/>
  <c r="C23" i="1"/>
  <c r="C19" i="1"/>
  <c r="C15" i="1"/>
  <c r="C181" i="1"/>
  <c r="C168" i="1"/>
  <c r="C160" i="1"/>
  <c r="C152" i="1"/>
  <c r="C144" i="1"/>
  <c r="C136" i="1"/>
  <c r="C128" i="1"/>
  <c r="C120" i="1"/>
  <c r="C112" i="1"/>
  <c r="C104" i="1"/>
  <c r="C96" i="1"/>
  <c r="C88" i="1"/>
  <c r="C80" i="1"/>
  <c r="C72" i="1"/>
  <c r="C64" i="1"/>
  <c r="C56" i="1"/>
  <c r="C48" i="1"/>
  <c r="C43" i="1"/>
  <c r="C38" i="1"/>
  <c r="C34" i="1"/>
  <c r="C30" i="1"/>
  <c r="C26" i="1"/>
  <c r="C22" i="1"/>
  <c r="C18" i="1"/>
  <c r="C177" i="1"/>
  <c r="C165" i="1"/>
  <c r="C157" i="1"/>
  <c r="C149" i="1"/>
  <c r="C141" i="1"/>
  <c r="C133" i="1"/>
  <c r="C125" i="1"/>
  <c r="C117" i="1"/>
  <c r="C109" i="1"/>
  <c r="C101" i="1"/>
  <c r="C93" i="1"/>
  <c r="C85" i="1"/>
  <c r="C77" i="1"/>
  <c r="C69" i="1"/>
  <c r="C61" i="1"/>
  <c r="C53" i="1"/>
  <c r="C47" i="1"/>
  <c r="C41" i="1"/>
  <c r="C37" i="1"/>
  <c r="C33" i="1"/>
  <c r="C29" i="1"/>
  <c r="C25" i="1"/>
  <c r="C21" i="1"/>
  <c r="C17" i="1"/>
  <c r="C173" i="1"/>
  <c r="C164" i="1"/>
  <c r="C156" i="1"/>
  <c r="C148" i="1"/>
  <c r="C140" i="1"/>
  <c r="C132" i="1"/>
  <c r="C124" i="1"/>
  <c r="C116" i="1"/>
  <c r="C108" i="1"/>
  <c r="C100" i="1"/>
  <c r="C92" i="1"/>
  <c r="C84" i="1"/>
  <c r="C52" i="1"/>
  <c r="C32" i="1"/>
  <c r="C16" i="1"/>
  <c r="C76" i="1"/>
  <c r="C45" i="1"/>
  <c r="C28" i="1"/>
  <c r="C68" i="1"/>
  <c r="C40" i="1"/>
  <c r="C24" i="1"/>
  <c r="C60" i="1"/>
  <c r="C36" i="1"/>
  <c r="C20" i="1"/>
  <c r="C375" i="1" l="1"/>
  <c r="E15" i="1"/>
  <c r="F15" i="1" s="1"/>
  <c r="B16" i="1" s="1"/>
  <c r="D16" i="1" l="1"/>
  <c r="E16" i="1" l="1"/>
  <c r="F16" i="1" s="1"/>
  <c r="B17" i="1" s="1"/>
  <c r="D17" i="1" s="1"/>
  <c r="E17" i="1" s="1"/>
  <c r="F17" i="1" s="1"/>
  <c r="B18" i="1" s="1"/>
  <c r="D18" i="1" s="1"/>
  <c r="E18" i="1" s="1"/>
  <c r="F18" i="1" s="1"/>
  <c r="B19" i="1" s="1"/>
  <c r="D19" i="1" s="1"/>
  <c r="E19" i="1" s="1"/>
  <c r="F19" i="1" s="1"/>
  <c r="B20" i="1" s="1"/>
  <c r="D20" i="1" s="1"/>
  <c r="E20" i="1" s="1"/>
  <c r="F20" i="1" s="1"/>
  <c r="B21" i="1" s="1"/>
  <c r="D21" i="1" s="1"/>
  <c r="E21" i="1" s="1"/>
  <c r="F21" i="1" s="1"/>
  <c r="B22" i="1" s="1"/>
  <c r="D22" i="1" s="1"/>
  <c r="E22" i="1" s="1"/>
  <c r="F22" i="1" s="1"/>
  <c r="B23" i="1" s="1"/>
  <c r="D23" i="1" s="1"/>
  <c r="E23" i="1" l="1"/>
  <c r="F23" i="1" s="1"/>
  <c r="B24" i="1" s="1"/>
  <c r="D24" i="1" s="1"/>
  <c r="E24" i="1" l="1"/>
  <c r="F24" i="1" s="1"/>
  <c r="B25" i="1" s="1"/>
  <c r="D25" i="1" s="1"/>
  <c r="E25" i="1" l="1"/>
  <c r="F25" i="1" s="1"/>
  <c r="B26" i="1" s="1"/>
  <c r="D26" i="1" s="1"/>
  <c r="E26" i="1" l="1"/>
  <c r="F26" i="1" s="1"/>
  <c r="B27" i="1" s="1"/>
  <c r="D27" i="1" s="1"/>
  <c r="E27" i="1" l="1"/>
  <c r="F27" i="1" s="1"/>
  <c r="B28" i="1" s="1"/>
  <c r="D28" i="1" s="1"/>
  <c r="E28" i="1" l="1"/>
  <c r="F28" i="1" s="1"/>
  <c r="B29" i="1" s="1"/>
  <c r="D29" i="1" s="1"/>
  <c r="E29" i="1" l="1"/>
  <c r="F29" i="1" s="1"/>
  <c r="B30" i="1" s="1"/>
  <c r="D30" i="1" s="1"/>
  <c r="E30" i="1" l="1"/>
  <c r="F30" i="1" s="1"/>
  <c r="B31" i="1" s="1"/>
  <c r="D31" i="1" s="1"/>
  <c r="E31" i="1" l="1"/>
  <c r="F31" i="1" s="1"/>
  <c r="B32" i="1" s="1"/>
  <c r="D32" i="1" s="1"/>
  <c r="E32" i="1" l="1"/>
  <c r="F32" i="1" s="1"/>
  <c r="B33" i="1" s="1"/>
  <c r="D33" i="1" s="1"/>
  <c r="E33" i="1" l="1"/>
  <c r="F33" i="1" s="1"/>
  <c r="B34" i="1" s="1"/>
  <c r="D34" i="1" s="1"/>
  <c r="E34" i="1" l="1"/>
  <c r="F34" i="1" s="1"/>
  <c r="B35" i="1" s="1"/>
  <c r="D35" i="1" s="1"/>
  <c r="E35" i="1" l="1"/>
  <c r="F35" i="1" s="1"/>
  <c r="B36" i="1" s="1"/>
  <c r="D36" i="1" s="1"/>
  <c r="E36" i="1" l="1"/>
  <c r="F36" i="1" s="1"/>
  <c r="B37" i="1" s="1"/>
  <c r="D37" i="1" s="1"/>
  <c r="E37" i="1" l="1"/>
  <c r="F37" i="1" s="1"/>
  <c r="B38" i="1" s="1"/>
  <c r="D38" i="1" s="1"/>
  <c r="E38" i="1" l="1"/>
  <c r="F38" i="1" s="1"/>
  <c r="B39" i="1" s="1"/>
  <c r="D39" i="1" s="1"/>
  <c r="E39" i="1" l="1"/>
  <c r="F39" i="1" s="1"/>
  <c r="B40" i="1" s="1"/>
  <c r="D40" i="1" s="1"/>
  <c r="E40" i="1" l="1"/>
  <c r="F40" i="1" s="1"/>
  <c r="B41" i="1" s="1"/>
  <c r="D41" i="1" s="1"/>
  <c r="E41" i="1" l="1"/>
  <c r="F41" i="1" s="1"/>
  <c r="B42" i="1" s="1"/>
  <c r="D42" i="1" s="1"/>
  <c r="E42" i="1" l="1"/>
  <c r="F42" i="1" s="1"/>
  <c r="B43" i="1" s="1"/>
  <c r="D43" i="1" s="1"/>
  <c r="E43" i="1" l="1"/>
  <c r="F43" i="1" s="1"/>
  <c r="B44" i="1" s="1"/>
  <c r="D44" i="1" s="1"/>
  <c r="E44" i="1" l="1"/>
  <c r="F44" i="1" s="1"/>
  <c r="B45" i="1" s="1"/>
  <c r="D45" i="1" s="1"/>
  <c r="E45" i="1" l="1"/>
  <c r="F45" i="1" s="1"/>
  <c r="B46" i="1" s="1"/>
  <c r="D46" i="1" s="1"/>
  <c r="E46" i="1" l="1"/>
  <c r="F46" i="1" s="1"/>
  <c r="B47" i="1" s="1"/>
  <c r="D47" i="1" s="1"/>
  <c r="E47" i="1" l="1"/>
  <c r="F47" i="1" s="1"/>
  <c r="B48" i="1" s="1"/>
  <c r="D48" i="1" s="1"/>
  <c r="E48" i="1" l="1"/>
  <c r="F48" i="1" s="1"/>
  <c r="B49" i="1" s="1"/>
  <c r="D49" i="1" s="1"/>
  <c r="E49" i="1" l="1"/>
  <c r="F49" i="1" s="1"/>
  <c r="B50" i="1" s="1"/>
  <c r="D50" i="1" s="1"/>
  <c r="E50" i="1" l="1"/>
  <c r="F50" i="1" s="1"/>
  <c r="B51" i="1" s="1"/>
  <c r="D51" i="1" s="1"/>
  <c r="E51" i="1" l="1"/>
  <c r="F51" i="1" s="1"/>
  <c r="B52" i="1" s="1"/>
  <c r="D52" i="1" s="1"/>
  <c r="E52" i="1" l="1"/>
  <c r="F52" i="1" s="1"/>
  <c r="B53" i="1" s="1"/>
  <c r="D53" i="1" s="1"/>
  <c r="E53" i="1" l="1"/>
  <c r="F53" i="1" s="1"/>
  <c r="B54" i="1" s="1"/>
  <c r="D54" i="1" s="1"/>
  <c r="E54" i="1" l="1"/>
  <c r="F54" i="1" s="1"/>
  <c r="B55" i="1" s="1"/>
  <c r="D55" i="1" s="1"/>
  <c r="E55" i="1" l="1"/>
  <c r="F55" i="1" s="1"/>
  <c r="B56" i="1" s="1"/>
  <c r="D56" i="1" s="1"/>
  <c r="E56" i="1" l="1"/>
  <c r="F56" i="1" s="1"/>
  <c r="B57" i="1" s="1"/>
  <c r="D57" i="1" s="1"/>
  <c r="E57" i="1" l="1"/>
  <c r="F57" i="1" s="1"/>
  <c r="B58" i="1" s="1"/>
  <c r="D58" i="1" s="1"/>
  <c r="E58" i="1" l="1"/>
  <c r="F58" i="1" s="1"/>
  <c r="B59" i="1" s="1"/>
  <c r="D59" i="1" s="1"/>
  <c r="E59" i="1" l="1"/>
  <c r="F59" i="1" s="1"/>
  <c r="B60" i="1" s="1"/>
  <c r="D60" i="1" s="1"/>
  <c r="E60" i="1" l="1"/>
  <c r="F60" i="1" s="1"/>
  <c r="B61" i="1" s="1"/>
  <c r="D61" i="1" s="1"/>
  <c r="E61" i="1" l="1"/>
  <c r="F61" i="1" s="1"/>
  <c r="B62" i="1" s="1"/>
  <c r="D62" i="1" s="1"/>
  <c r="E62" i="1" l="1"/>
  <c r="F62" i="1" s="1"/>
  <c r="B63" i="1" s="1"/>
  <c r="D63" i="1" s="1"/>
  <c r="E63" i="1" l="1"/>
  <c r="F63" i="1" s="1"/>
  <c r="B64" i="1" s="1"/>
  <c r="D64" i="1" s="1"/>
  <c r="E64" i="1" l="1"/>
  <c r="F64" i="1" s="1"/>
  <c r="B65" i="1" s="1"/>
  <c r="D65" i="1" s="1"/>
  <c r="E65" i="1" l="1"/>
  <c r="F65" i="1" s="1"/>
  <c r="B66" i="1" s="1"/>
  <c r="D66" i="1" s="1"/>
  <c r="E66" i="1" l="1"/>
  <c r="F66" i="1" s="1"/>
  <c r="B67" i="1" s="1"/>
  <c r="D67" i="1" s="1"/>
  <c r="E67" i="1" l="1"/>
  <c r="F67" i="1" s="1"/>
  <c r="B68" i="1" s="1"/>
  <c r="D68" i="1" s="1"/>
  <c r="E68" i="1" l="1"/>
  <c r="F68" i="1" s="1"/>
  <c r="B69" i="1" s="1"/>
  <c r="D69" i="1" s="1"/>
  <c r="E69" i="1" l="1"/>
  <c r="F69" i="1" s="1"/>
  <c r="B70" i="1" s="1"/>
  <c r="D70" i="1" s="1"/>
  <c r="E70" i="1" l="1"/>
  <c r="F70" i="1" s="1"/>
  <c r="B71" i="1" s="1"/>
  <c r="D71" i="1" s="1"/>
  <c r="E71" i="1" l="1"/>
  <c r="F71" i="1" s="1"/>
  <c r="B72" i="1" s="1"/>
  <c r="D72" i="1" s="1"/>
  <c r="E72" i="1" l="1"/>
  <c r="F72" i="1" s="1"/>
  <c r="B73" i="1" s="1"/>
  <c r="D73" i="1" s="1"/>
  <c r="E73" i="1" l="1"/>
  <c r="F73" i="1" s="1"/>
  <c r="B74" i="1" s="1"/>
  <c r="D74" i="1" s="1"/>
  <c r="E74" i="1" l="1"/>
  <c r="F74" i="1" s="1"/>
  <c r="B75" i="1" s="1"/>
  <c r="D75" i="1" s="1"/>
  <c r="E75" i="1" l="1"/>
  <c r="F75" i="1" s="1"/>
  <c r="B76" i="1" s="1"/>
  <c r="D76" i="1" s="1"/>
  <c r="E76" i="1" l="1"/>
  <c r="F76" i="1" s="1"/>
  <c r="B77" i="1" s="1"/>
  <c r="D77" i="1" s="1"/>
  <c r="E77" i="1" l="1"/>
  <c r="F77" i="1" s="1"/>
  <c r="B78" i="1" s="1"/>
  <c r="D78" i="1" s="1"/>
  <c r="E78" i="1" l="1"/>
  <c r="F78" i="1" s="1"/>
  <c r="B79" i="1" s="1"/>
  <c r="D79" i="1" s="1"/>
  <c r="E79" i="1" l="1"/>
  <c r="F79" i="1" s="1"/>
  <c r="B80" i="1" s="1"/>
  <c r="D80" i="1" s="1"/>
  <c r="E80" i="1" l="1"/>
  <c r="F80" i="1" s="1"/>
  <c r="B81" i="1" s="1"/>
  <c r="D81" i="1" s="1"/>
  <c r="E81" i="1" l="1"/>
  <c r="F81" i="1" s="1"/>
  <c r="B82" i="1" s="1"/>
  <c r="D82" i="1" s="1"/>
  <c r="E82" i="1" l="1"/>
  <c r="F82" i="1" s="1"/>
  <c r="B83" i="1" s="1"/>
  <c r="D83" i="1" s="1"/>
  <c r="E83" i="1" l="1"/>
  <c r="F83" i="1" s="1"/>
  <c r="B84" i="1" s="1"/>
  <c r="D84" i="1" s="1"/>
  <c r="E84" i="1" l="1"/>
  <c r="F84" i="1" s="1"/>
  <c r="B85" i="1" s="1"/>
  <c r="D85" i="1" s="1"/>
  <c r="E85" i="1" l="1"/>
  <c r="F85" i="1" s="1"/>
  <c r="B86" i="1" s="1"/>
  <c r="D86" i="1" s="1"/>
  <c r="E86" i="1" l="1"/>
  <c r="F86" i="1" s="1"/>
  <c r="B87" i="1" s="1"/>
  <c r="D87" i="1" s="1"/>
  <c r="E87" i="1" l="1"/>
  <c r="F87" i="1" s="1"/>
  <c r="B88" i="1" s="1"/>
  <c r="D88" i="1" s="1"/>
  <c r="E88" i="1" l="1"/>
  <c r="F88" i="1" s="1"/>
  <c r="B89" i="1" s="1"/>
  <c r="D89" i="1" s="1"/>
  <c r="E89" i="1" l="1"/>
  <c r="F89" i="1" s="1"/>
  <c r="B90" i="1" s="1"/>
  <c r="D90" i="1" s="1"/>
  <c r="E90" i="1" l="1"/>
  <c r="F90" i="1" s="1"/>
  <c r="B91" i="1" s="1"/>
  <c r="D91" i="1" s="1"/>
  <c r="E91" i="1" l="1"/>
  <c r="F91" i="1" s="1"/>
  <c r="B92" i="1" s="1"/>
  <c r="D92" i="1" s="1"/>
  <c r="E92" i="1" l="1"/>
  <c r="F92" i="1" s="1"/>
  <c r="B93" i="1" s="1"/>
  <c r="D93" i="1" s="1"/>
  <c r="E93" i="1" l="1"/>
  <c r="F93" i="1" s="1"/>
  <c r="B94" i="1" s="1"/>
  <c r="D94" i="1" s="1"/>
  <c r="E94" i="1" l="1"/>
  <c r="F94" i="1" s="1"/>
  <c r="B95" i="1" s="1"/>
  <c r="D95" i="1" s="1"/>
  <c r="E95" i="1" l="1"/>
  <c r="F95" i="1" s="1"/>
  <c r="B96" i="1" s="1"/>
  <c r="D96" i="1" s="1"/>
  <c r="E96" i="1" l="1"/>
  <c r="F96" i="1" s="1"/>
  <c r="B97" i="1" s="1"/>
  <c r="D97" i="1" s="1"/>
  <c r="E97" i="1" l="1"/>
  <c r="F97" i="1" s="1"/>
  <c r="B98" i="1" s="1"/>
  <c r="D98" i="1" s="1"/>
  <c r="E98" i="1" l="1"/>
  <c r="F98" i="1" s="1"/>
  <c r="B99" i="1" s="1"/>
  <c r="D99" i="1" s="1"/>
  <c r="E99" i="1" l="1"/>
  <c r="F99" i="1" s="1"/>
  <c r="B100" i="1" s="1"/>
  <c r="D100" i="1" s="1"/>
  <c r="E100" i="1" l="1"/>
  <c r="F100" i="1" s="1"/>
  <c r="B101" i="1" s="1"/>
  <c r="D101" i="1" s="1"/>
  <c r="E101" i="1" l="1"/>
  <c r="F101" i="1" s="1"/>
  <c r="B102" i="1" s="1"/>
  <c r="D102" i="1" s="1"/>
  <c r="E102" i="1" l="1"/>
  <c r="F102" i="1" s="1"/>
  <c r="B103" i="1" s="1"/>
  <c r="D103" i="1" s="1"/>
  <c r="E103" i="1" l="1"/>
  <c r="F103" i="1" s="1"/>
  <c r="B104" i="1" s="1"/>
  <c r="D104" i="1" s="1"/>
  <c r="E104" i="1" l="1"/>
  <c r="F104" i="1" s="1"/>
  <c r="B105" i="1" s="1"/>
  <c r="D105" i="1" s="1"/>
  <c r="E105" i="1" l="1"/>
  <c r="F105" i="1" s="1"/>
  <c r="B106" i="1" s="1"/>
  <c r="D106" i="1" s="1"/>
  <c r="E106" i="1" l="1"/>
  <c r="F106" i="1" s="1"/>
  <c r="B107" i="1" s="1"/>
  <c r="D107" i="1" s="1"/>
  <c r="E107" i="1" l="1"/>
  <c r="F107" i="1" s="1"/>
  <c r="B108" i="1" s="1"/>
  <c r="D108" i="1" s="1"/>
  <c r="E108" i="1" l="1"/>
  <c r="F108" i="1" s="1"/>
  <c r="B109" i="1" s="1"/>
  <c r="D109" i="1" s="1"/>
  <c r="E109" i="1" l="1"/>
  <c r="F109" i="1" s="1"/>
  <c r="B110" i="1" s="1"/>
  <c r="D110" i="1" s="1"/>
  <c r="E110" i="1" l="1"/>
  <c r="F110" i="1" s="1"/>
  <c r="B111" i="1" s="1"/>
  <c r="D111" i="1" s="1"/>
  <c r="E111" i="1" l="1"/>
  <c r="F111" i="1" s="1"/>
  <c r="B112" i="1" s="1"/>
  <c r="D112" i="1" s="1"/>
  <c r="E112" i="1" l="1"/>
  <c r="F112" i="1" s="1"/>
  <c r="B113" i="1" s="1"/>
  <c r="D113" i="1" s="1"/>
  <c r="E113" i="1" l="1"/>
  <c r="F113" i="1" s="1"/>
  <c r="B114" i="1" s="1"/>
  <c r="D114" i="1" s="1"/>
  <c r="E114" i="1" l="1"/>
  <c r="F114" i="1" s="1"/>
  <c r="B115" i="1" s="1"/>
  <c r="D115" i="1" s="1"/>
  <c r="E115" i="1" l="1"/>
  <c r="F115" i="1" s="1"/>
  <c r="B116" i="1" s="1"/>
  <c r="D116" i="1" s="1"/>
  <c r="E116" i="1" l="1"/>
  <c r="F116" i="1" s="1"/>
  <c r="B117" i="1" s="1"/>
  <c r="D117" i="1" s="1"/>
  <c r="E117" i="1" l="1"/>
  <c r="F117" i="1" s="1"/>
  <c r="B118" i="1" s="1"/>
  <c r="D118" i="1" s="1"/>
  <c r="E118" i="1" l="1"/>
  <c r="F118" i="1" s="1"/>
  <c r="B119" i="1" s="1"/>
  <c r="D119" i="1" s="1"/>
  <c r="E119" i="1" l="1"/>
  <c r="F119" i="1" s="1"/>
  <c r="B120" i="1" s="1"/>
  <c r="D120" i="1" s="1"/>
  <c r="E120" i="1" l="1"/>
  <c r="F120" i="1" s="1"/>
  <c r="B121" i="1" s="1"/>
  <c r="D121" i="1" s="1"/>
  <c r="E121" i="1" l="1"/>
  <c r="F121" i="1" s="1"/>
  <c r="B122" i="1" s="1"/>
  <c r="D122" i="1" s="1"/>
  <c r="E122" i="1" l="1"/>
  <c r="F122" i="1" s="1"/>
  <c r="B123" i="1" s="1"/>
  <c r="D123" i="1" s="1"/>
  <c r="E123" i="1" l="1"/>
  <c r="F123" i="1" s="1"/>
  <c r="B124" i="1" s="1"/>
  <c r="D124" i="1" s="1"/>
  <c r="E124" i="1" l="1"/>
  <c r="F124" i="1" s="1"/>
  <c r="B125" i="1" s="1"/>
  <c r="D125" i="1" s="1"/>
  <c r="E125" i="1" l="1"/>
  <c r="F125" i="1" s="1"/>
  <c r="B126" i="1" s="1"/>
  <c r="D126" i="1" s="1"/>
  <c r="E126" i="1" l="1"/>
  <c r="F126" i="1" s="1"/>
  <c r="B127" i="1" s="1"/>
  <c r="D127" i="1" s="1"/>
  <c r="E127" i="1" l="1"/>
  <c r="F127" i="1" s="1"/>
  <c r="B128" i="1" s="1"/>
  <c r="D128" i="1" s="1"/>
  <c r="E128" i="1" l="1"/>
  <c r="F128" i="1" s="1"/>
  <c r="B129" i="1" s="1"/>
  <c r="D129" i="1" s="1"/>
  <c r="E129" i="1" l="1"/>
  <c r="F129" i="1" s="1"/>
  <c r="B130" i="1" s="1"/>
  <c r="D130" i="1" s="1"/>
  <c r="E130" i="1" l="1"/>
  <c r="F130" i="1" s="1"/>
  <c r="B131" i="1" s="1"/>
  <c r="D131" i="1" s="1"/>
  <c r="E131" i="1" l="1"/>
  <c r="F131" i="1" s="1"/>
  <c r="B132" i="1" s="1"/>
  <c r="D132" i="1" s="1"/>
  <c r="E132" i="1" l="1"/>
  <c r="F132" i="1" s="1"/>
  <c r="B133" i="1" s="1"/>
  <c r="D133" i="1" s="1"/>
  <c r="E133" i="1" l="1"/>
  <c r="F133" i="1" s="1"/>
  <c r="B134" i="1" s="1"/>
  <c r="D134" i="1" s="1"/>
  <c r="E134" i="1" l="1"/>
  <c r="F134" i="1" s="1"/>
  <c r="B135" i="1" s="1"/>
  <c r="D135" i="1" s="1"/>
  <c r="E135" i="1" l="1"/>
  <c r="F135" i="1" s="1"/>
  <c r="B136" i="1" s="1"/>
  <c r="D136" i="1" s="1"/>
  <c r="E136" i="1" l="1"/>
  <c r="F136" i="1" s="1"/>
  <c r="B137" i="1" s="1"/>
  <c r="D137" i="1" s="1"/>
  <c r="E137" i="1" l="1"/>
  <c r="F137" i="1" s="1"/>
  <c r="B138" i="1" s="1"/>
  <c r="D138" i="1" s="1"/>
  <c r="E138" i="1" l="1"/>
  <c r="F138" i="1" s="1"/>
  <c r="B139" i="1" s="1"/>
  <c r="D139" i="1" s="1"/>
  <c r="E139" i="1" l="1"/>
  <c r="F139" i="1" s="1"/>
  <c r="B140" i="1" s="1"/>
  <c r="D140" i="1" s="1"/>
  <c r="E140" i="1" l="1"/>
  <c r="F140" i="1" s="1"/>
  <c r="B141" i="1" s="1"/>
  <c r="D141" i="1" s="1"/>
  <c r="E141" i="1" l="1"/>
  <c r="F141" i="1" s="1"/>
  <c r="B142" i="1" s="1"/>
  <c r="D142" i="1" s="1"/>
  <c r="E142" i="1" l="1"/>
  <c r="F142" i="1" s="1"/>
  <c r="B143" i="1" s="1"/>
  <c r="D143" i="1" s="1"/>
  <c r="E143" i="1" l="1"/>
  <c r="F143" i="1" s="1"/>
  <c r="B144" i="1" s="1"/>
  <c r="D144" i="1" s="1"/>
  <c r="E144" i="1" l="1"/>
  <c r="F144" i="1" s="1"/>
  <c r="B145" i="1" s="1"/>
  <c r="D145" i="1" s="1"/>
  <c r="E145" i="1" l="1"/>
  <c r="F145" i="1" s="1"/>
  <c r="B146" i="1" s="1"/>
  <c r="D146" i="1" s="1"/>
  <c r="E146" i="1" l="1"/>
  <c r="F146" i="1" s="1"/>
  <c r="B147" i="1" s="1"/>
  <c r="D147" i="1" s="1"/>
  <c r="E147" i="1" l="1"/>
  <c r="F147" i="1" s="1"/>
  <c r="B148" i="1" s="1"/>
  <c r="D148" i="1" s="1"/>
  <c r="E148" i="1" l="1"/>
  <c r="F148" i="1" s="1"/>
  <c r="B149" i="1" s="1"/>
  <c r="D149" i="1" s="1"/>
  <c r="E149" i="1" l="1"/>
  <c r="F149" i="1" s="1"/>
  <c r="B150" i="1" s="1"/>
  <c r="D150" i="1" s="1"/>
  <c r="E150" i="1" l="1"/>
  <c r="F150" i="1" s="1"/>
  <c r="B151" i="1" s="1"/>
  <c r="D151" i="1" s="1"/>
  <c r="E151" i="1" l="1"/>
  <c r="F151" i="1" s="1"/>
  <c r="B152" i="1" s="1"/>
  <c r="D152" i="1" s="1"/>
  <c r="E152" i="1" l="1"/>
  <c r="F152" i="1" s="1"/>
  <c r="B153" i="1" s="1"/>
  <c r="D153" i="1" s="1"/>
  <c r="E153" i="1" l="1"/>
  <c r="F153" i="1" s="1"/>
  <c r="B154" i="1" s="1"/>
  <c r="D154" i="1" s="1"/>
  <c r="E154" i="1" l="1"/>
  <c r="F154" i="1" s="1"/>
  <c r="B155" i="1" s="1"/>
  <c r="D155" i="1" s="1"/>
  <c r="E155" i="1" l="1"/>
  <c r="F155" i="1" s="1"/>
  <c r="B156" i="1" s="1"/>
  <c r="D156" i="1" s="1"/>
  <c r="E156" i="1" l="1"/>
  <c r="F156" i="1" s="1"/>
  <c r="B157" i="1" s="1"/>
  <c r="D157" i="1" s="1"/>
  <c r="E157" i="1" l="1"/>
  <c r="F157" i="1" s="1"/>
  <c r="B158" i="1" s="1"/>
  <c r="D158" i="1" s="1"/>
  <c r="E158" i="1" l="1"/>
  <c r="F158" i="1" s="1"/>
  <c r="B159" i="1" s="1"/>
  <c r="D159" i="1" s="1"/>
  <c r="E159" i="1" l="1"/>
  <c r="F159" i="1" s="1"/>
  <c r="B160" i="1" s="1"/>
  <c r="D160" i="1" s="1"/>
  <c r="E160" i="1" l="1"/>
  <c r="F160" i="1" s="1"/>
  <c r="B161" i="1" s="1"/>
  <c r="D161" i="1" s="1"/>
  <c r="E161" i="1" l="1"/>
  <c r="F161" i="1" s="1"/>
  <c r="B162" i="1" s="1"/>
  <c r="D162" i="1" s="1"/>
  <c r="E162" i="1" l="1"/>
  <c r="F162" i="1" s="1"/>
  <c r="B163" i="1" s="1"/>
  <c r="D163" i="1" s="1"/>
  <c r="E163" i="1" l="1"/>
  <c r="F163" i="1" s="1"/>
  <c r="B164" i="1" s="1"/>
  <c r="D164" i="1" s="1"/>
  <c r="E164" i="1" l="1"/>
  <c r="F164" i="1" s="1"/>
  <c r="B165" i="1" s="1"/>
  <c r="D165" i="1" s="1"/>
  <c r="E165" i="1" l="1"/>
  <c r="F165" i="1" s="1"/>
  <c r="B166" i="1" s="1"/>
  <c r="D166" i="1" s="1"/>
  <c r="E166" i="1" l="1"/>
  <c r="F166" i="1" s="1"/>
  <c r="B167" i="1" s="1"/>
  <c r="D167" i="1" s="1"/>
  <c r="E167" i="1" l="1"/>
  <c r="F167" i="1" s="1"/>
  <c r="B168" i="1" s="1"/>
  <c r="D168" i="1" s="1"/>
  <c r="E168" i="1" l="1"/>
  <c r="F168" i="1" s="1"/>
  <c r="B169" i="1" s="1"/>
  <c r="D169" i="1" s="1"/>
  <c r="E169" i="1" l="1"/>
  <c r="F169" i="1" s="1"/>
  <c r="B170" i="1" s="1"/>
  <c r="D170" i="1" s="1"/>
  <c r="E170" i="1" l="1"/>
  <c r="F170" i="1" s="1"/>
  <c r="B171" i="1" s="1"/>
  <c r="D171" i="1" s="1"/>
  <c r="E171" i="1" l="1"/>
  <c r="F171" i="1" s="1"/>
  <c r="B172" i="1" s="1"/>
  <c r="D172" i="1" s="1"/>
  <c r="E172" i="1" l="1"/>
  <c r="F172" i="1" s="1"/>
  <c r="B173" i="1" s="1"/>
  <c r="D173" i="1" s="1"/>
  <c r="E173" i="1" l="1"/>
  <c r="F173" i="1" s="1"/>
  <c r="B174" i="1" s="1"/>
  <c r="D174" i="1" s="1"/>
  <c r="E174" i="1" l="1"/>
  <c r="F174" i="1" s="1"/>
  <c r="B175" i="1" s="1"/>
  <c r="D175" i="1" s="1"/>
  <c r="E175" i="1" l="1"/>
  <c r="F175" i="1" s="1"/>
  <c r="B176" i="1" s="1"/>
  <c r="D176" i="1" s="1"/>
  <c r="E176" i="1" l="1"/>
  <c r="F176" i="1" s="1"/>
  <c r="B177" i="1" s="1"/>
  <c r="D177" i="1" s="1"/>
  <c r="E177" i="1" l="1"/>
  <c r="F177" i="1" s="1"/>
  <c r="B178" i="1" s="1"/>
  <c r="D178" i="1" s="1"/>
  <c r="E178" i="1" l="1"/>
  <c r="F178" i="1" s="1"/>
  <c r="B179" i="1" s="1"/>
  <c r="D179" i="1" s="1"/>
  <c r="E179" i="1" l="1"/>
  <c r="F179" i="1" s="1"/>
  <c r="B180" i="1" s="1"/>
  <c r="D180" i="1" s="1"/>
  <c r="E180" i="1" l="1"/>
  <c r="F180" i="1" s="1"/>
  <c r="B181" i="1" s="1"/>
  <c r="D181" i="1" s="1"/>
  <c r="E181" i="1" l="1"/>
  <c r="F181" i="1" s="1"/>
  <c r="B182" i="1" s="1"/>
  <c r="D182" i="1" s="1"/>
  <c r="E182" i="1" l="1"/>
  <c r="F182" i="1" s="1"/>
  <c r="B183" i="1" s="1"/>
  <c r="D183" i="1" s="1"/>
  <c r="E183" i="1" l="1"/>
  <c r="F183" i="1" s="1"/>
  <c r="B184" i="1" s="1"/>
  <c r="D184" i="1" s="1"/>
  <c r="E184" i="1" l="1"/>
  <c r="F184" i="1" s="1"/>
  <c r="B185" i="1" s="1"/>
  <c r="D185" i="1" s="1"/>
  <c r="E185" i="1" l="1"/>
  <c r="F185" i="1" s="1"/>
  <c r="B186" i="1" s="1"/>
  <c r="D186" i="1" s="1"/>
  <c r="E186" i="1" l="1"/>
  <c r="F186" i="1" s="1"/>
  <c r="B187" i="1" s="1"/>
  <c r="D187" i="1" s="1"/>
  <c r="E187" i="1" l="1"/>
  <c r="F187" i="1" s="1"/>
  <c r="B188" i="1" s="1"/>
  <c r="D188" i="1" s="1"/>
  <c r="E188" i="1" l="1"/>
  <c r="F188" i="1" s="1"/>
  <c r="B189" i="1" s="1"/>
  <c r="D189" i="1" s="1"/>
  <c r="E189" i="1" l="1"/>
  <c r="F189" i="1" s="1"/>
  <c r="B190" i="1" s="1"/>
  <c r="D190" i="1" s="1"/>
  <c r="E190" i="1" l="1"/>
  <c r="F190" i="1" s="1"/>
  <c r="B191" i="1" s="1"/>
  <c r="D191" i="1" s="1"/>
  <c r="E191" i="1" l="1"/>
  <c r="F191" i="1" s="1"/>
  <c r="B192" i="1" s="1"/>
  <c r="D192" i="1" s="1"/>
  <c r="E192" i="1" l="1"/>
  <c r="F192" i="1" s="1"/>
  <c r="B193" i="1" s="1"/>
  <c r="D193" i="1" s="1"/>
  <c r="E193" i="1" l="1"/>
  <c r="F193" i="1" s="1"/>
  <c r="B194" i="1" s="1"/>
  <c r="D194" i="1" s="1"/>
  <c r="E194" i="1" l="1"/>
  <c r="F194" i="1" s="1"/>
  <c r="B195" i="1" s="1"/>
  <c r="D195" i="1" s="1"/>
  <c r="E195" i="1" l="1"/>
  <c r="F195" i="1" s="1"/>
  <c r="B196" i="1" s="1"/>
  <c r="D196" i="1" s="1"/>
  <c r="E196" i="1" l="1"/>
  <c r="F196" i="1" s="1"/>
  <c r="B197" i="1" s="1"/>
  <c r="D197" i="1" s="1"/>
  <c r="E197" i="1" l="1"/>
  <c r="F197" i="1" s="1"/>
  <c r="B198" i="1" s="1"/>
  <c r="D198" i="1" s="1"/>
  <c r="E198" i="1" l="1"/>
  <c r="F198" i="1" s="1"/>
  <c r="B199" i="1" s="1"/>
  <c r="D199" i="1" s="1"/>
  <c r="E199" i="1" l="1"/>
  <c r="F199" i="1" s="1"/>
  <c r="B200" i="1" s="1"/>
  <c r="D200" i="1" s="1"/>
  <c r="E200" i="1" l="1"/>
  <c r="F200" i="1" s="1"/>
  <c r="B201" i="1" s="1"/>
  <c r="D201" i="1" s="1"/>
  <c r="E201" i="1" l="1"/>
  <c r="F201" i="1" s="1"/>
  <c r="B202" i="1" s="1"/>
  <c r="D202" i="1" s="1"/>
  <c r="E202" i="1" l="1"/>
  <c r="F202" i="1" s="1"/>
  <c r="B203" i="1" s="1"/>
  <c r="D203" i="1" s="1"/>
  <c r="E203" i="1" l="1"/>
  <c r="F203" i="1" s="1"/>
  <c r="B204" i="1" s="1"/>
  <c r="D204" i="1" s="1"/>
  <c r="E204" i="1" l="1"/>
  <c r="F204" i="1" s="1"/>
  <c r="B205" i="1" s="1"/>
  <c r="D205" i="1" s="1"/>
  <c r="E205" i="1" l="1"/>
  <c r="F205" i="1" s="1"/>
  <c r="B206" i="1" s="1"/>
  <c r="D206" i="1" s="1"/>
  <c r="E206" i="1" l="1"/>
  <c r="F206" i="1" s="1"/>
  <c r="B207" i="1" s="1"/>
  <c r="D207" i="1" s="1"/>
  <c r="E207" i="1" l="1"/>
  <c r="F207" i="1" s="1"/>
  <c r="B208" i="1" s="1"/>
  <c r="D208" i="1" s="1"/>
  <c r="E208" i="1" l="1"/>
  <c r="F208" i="1" s="1"/>
  <c r="B209" i="1" s="1"/>
  <c r="D209" i="1" s="1"/>
  <c r="E209" i="1" l="1"/>
  <c r="F209" i="1" s="1"/>
  <c r="B210" i="1" s="1"/>
  <c r="D210" i="1" s="1"/>
  <c r="E210" i="1" l="1"/>
  <c r="F210" i="1" s="1"/>
  <c r="B211" i="1" s="1"/>
  <c r="D211" i="1" s="1"/>
  <c r="E211" i="1" l="1"/>
  <c r="F211" i="1" s="1"/>
  <c r="B212" i="1" s="1"/>
  <c r="D212" i="1" s="1"/>
  <c r="E212" i="1" l="1"/>
  <c r="F212" i="1" s="1"/>
  <c r="B213" i="1" s="1"/>
  <c r="D213" i="1" s="1"/>
  <c r="E213" i="1" l="1"/>
  <c r="F213" i="1" s="1"/>
  <c r="B214" i="1" s="1"/>
  <c r="D214" i="1" s="1"/>
  <c r="E214" i="1" l="1"/>
  <c r="F214" i="1" s="1"/>
  <c r="B215" i="1" s="1"/>
  <c r="D215" i="1" s="1"/>
  <c r="E215" i="1" l="1"/>
  <c r="F215" i="1" s="1"/>
  <c r="B216" i="1" s="1"/>
  <c r="D216" i="1" s="1"/>
  <c r="E216" i="1" l="1"/>
  <c r="F216" i="1" s="1"/>
  <c r="B217" i="1" s="1"/>
  <c r="D217" i="1" s="1"/>
  <c r="E217" i="1" l="1"/>
  <c r="F217" i="1" s="1"/>
  <c r="B218" i="1" s="1"/>
  <c r="D218" i="1" s="1"/>
  <c r="E218" i="1" l="1"/>
  <c r="F218" i="1" s="1"/>
  <c r="B219" i="1" s="1"/>
  <c r="D219" i="1" s="1"/>
  <c r="E219" i="1" l="1"/>
  <c r="F219" i="1" s="1"/>
  <c r="B220" i="1" s="1"/>
  <c r="D220" i="1" s="1"/>
  <c r="E220" i="1" l="1"/>
  <c r="F220" i="1" s="1"/>
  <c r="B221" i="1" s="1"/>
  <c r="D221" i="1" s="1"/>
  <c r="E221" i="1" l="1"/>
  <c r="F221" i="1" s="1"/>
  <c r="B222" i="1" s="1"/>
  <c r="D222" i="1" s="1"/>
  <c r="E222" i="1" l="1"/>
  <c r="F222" i="1" s="1"/>
  <c r="B223" i="1" s="1"/>
  <c r="D223" i="1" s="1"/>
  <c r="E223" i="1" l="1"/>
  <c r="F223" i="1" s="1"/>
  <c r="B224" i="1" s="1"/>
  <c r="D224" i="1" s="1"/>
  <c r="E224" i="1" l="1"/>
  <c r="F224" i="1" s="1"/>
  <c r="B225" i="1" s="1"/>
  <c r="D225" i="1" s="1"/>
  <c r="E225" i="1" l="1"/>
  <c r="F225" i="1" s="1"/>
  <c r="B226" i="1" s="1"/>
  <c r="D226" i="1" s="1"/>
  <c r="E226" i="1" l="1"/>
  <c r="F226" i="1" s="1"/>
  <c r="B227" i="1" s="1"/>
  <c r="D227" i="1" s="1"/>
  <c r="E227" i="1" l="1"/>
  <c r="F227" i="1" s="1"/>
  <c r="B228" i="1" s="1"/>
  <c r="D228" i="1" s="1"/>
  <c r="E228" i="1" l="1"/>
  <c r="F228" i="1" s="1"/>
  <c r="B229" i="1" s="1"/>
  <c r="D229" i="1" s="1"/>
  <c r="E229" i="1" l="1"/>
  <c r="F229" i="1" s="1"/>
  <c r="B230" i="1" s="1"/>
  <c r="D230" i="1" s="1"/>
  <c r="E230" i="1" l="1"/>
  <c r="F230" i="1" s="1"/>
  <c r="B231" i="1" s="1"/>
  <c r="D231" i="1" s="1"/>
  <c r="E231" i="1" l="1"/>
  <c r="F231" i="1" s="1"/>
  <c r="B232" i="1" s="1"/>
  <c r="D232" i="1" s="1"/>
  <c r="E232" i="1" l="1"/>
  <c r="F232" i="1" s="1"/>
  <c r="B233" i="1" s="1"/>
  <c r="D233" i="1" s="1"/>
  <c r="E233" i="1" l="1"/>
  <c r="F233" i="1" s="1"/>
  <c r="B234" i="1" s="1"/>
  <c r="D234" i="1" s="1"/>
  <c r="E234" i="1" l="1"/>
  <c r="F234" i="1" s="1"/>
  <c r="B235" i="1" s="1"/>
  <c r="D235" i="1" s="1"/>
  <c r="E235" i="1" l="1"/>
  <c r="F235" i="1" s="1"/>
  <c r="B236" i="1" s="1"/>
  <c r="D236" i="1" s="1"/>
  <c r="E236" i="1" l="1"/>
  <c r="F236" i="1" s="1"/>
  <c r="B237" i="1" s="1"/>
  <c r="D237" i="1" s="1"/>
  <c r="E237" i="1" l="1"/>
  <c r="F237" i="1" s="1"/>
  <c r="B238" i="1" s="1"/>
  <c r="D238" i="1" s="1"/>
  <c r="E238" i="1" l="1"/>
  <c r="F238" i="1" s="1"/>
  <c r="B239" i="1" s="1"/>
  <c r="D239" i="1" s="1"/>
  <c r="E239" i="1" l="1"/>
  <c r="F239" i="1" s="1"/>
  <c r="B240" i="1" s="1"/>
  <c r="D240" i="1" s="1"/>
  <c r="E240" i="1" l="1"/>
  <c r="F240" i="1" s="1"/>
  <c r="B241" i="1" s="1"/>
  <c r="D241" i="1" s="1"/>
  <c r="E241" i="1" l="1"/>
  <c r="F241" i="1" s="1"/>
  <c r="B242" i="1" s="1"/>
  <c r="D242" i="1" s="1"/>
  <c r="E242" i="1" l="1"/>
  <c r="F242" i="1" s="1"/>
  <c r="B243" i="1" s="1"/>
  <c r="D243" i="1" s="1"/>
  <c r="E243" i="1" l="1"/>
  <c r="F243" i="1" s="1"/>
  <c r="B244" i="1" s="1"/>
  <c r="D244" i="1" s="1"/>
  <c r="E244" i="1" l="1"/>
  <c r="F244" i="1" s="1"/>
  <c r="B245" i="1" s="1"/>
  <c r="D245" i="1" s="1"/>
  <c r="E245" i="1" l="1"/>
  <c r="F245" i="1" s="1"/>
  <c r="B246" i="1" s="1"/>
  <c r="D246" i="1" s="1"/>
  <c r="E246" i="1" l="1"/>
  <c r="F246" i="1" s="1"/>
  <c r="B247" i="1" s="1"/>
  <c r="D247" i="1" s="1"/>
  <c r="E247" i="1" l="1"/>
  <c r="F247" i="1" s="1"/>
  <c r="B248" i="1" s="1"/>
  <c r="D248" i="1" s="1"/>
  <c r="E248" i="1" l="1"/>
  <c r="F248" i="1" s="1"/>
  <c r="B249" i="1" s="1"/>
  <c r="D249" i="1" s="1"/>
  <c r="E249" i="1" l="1"/>
  <c r="F249" i="1" s="1"/>
  <c r="B250" i="1" s="1"/>
  <c r="D250" i="1" s="1"/>
  <c r="E250" i="1" l="1"/>
  <c r="F250" i="1" s="1"/>
  <c r="B251" i="1" s="1"/>
  <c r="D251" i="1" s="1"/>
  <c r="E251" i="1" l="1"/>
  <c r="F251" i="1" s="1"/>
  <c r="B252" i="1" s="1"/>
  <c r="D252" i="1" s="1"/>
  <c r="E252" i="1" l="1"/>
  <c r="F252" i="1" s="1"/>
  <c r="B253" i="1" s="1"/>
  <c r="D253" i="1" s="1"/>
  <c r="E253" i="1" l="1"/>
  <c r="F253" i="1" s="1"/>
  <c r="B254" i="1" s="1"/>
  <c r="D254" i="1" s="1"/>
  <c r="E254" i="1" l="1"/>
  <c r="F254" i="1" s="1"/>
  <c r="B255" i="1" s="1"/>
  <c r="D255" i="1" s="1"/>
  <c r="E255" i="1" l="1"/>
  <c r="F255" i="1" s="1"/>
  <c r="B256" i="1" s="1"/>
  <c r="D256" i="1" s="1"/>
  <c r="E256" i="1" l="1"/>
  <c r="F256" i="1" s="1"/>
  <c r="B257" i="1" s="1"/>
  <c r="D257" i="1" s="1"/>
  <c r="E257" i="1" l="1"/>
  <c r="F257" i="1" s="1"/>
  <c r="B258" i="1" s="1"/>
  <c r="D258" i="1" s="1"/>
  <c r="E258" i="1" l="1"/>
  <c r="F258" i="1" s="1"/>
  <c r="B259" i="1" s="1"/>
  <c r="D259" i="1" s="1"/>
  <c r="E259" i="1" l="1"/>
  <c r="F259" i="1" s="1"/>
  <c r="B260" i="1" s="1"/>
  <c r="D260" i="1" s="1"/>
  <c r="E260" i="1" l="1"/>
  <c r="F260" i="1" s="1"/>
  <c r="B261" i="1" s="1"/>
  <c r="D261" i="1" s="1"/>
  <c r="E261" i="1" l="1"/>
  <c r="F261" i="1" s="1"/>
  <c r="B262" i="1" s="1"/>
  <c r="D262" i="1" s="1"/>
  <c r="E262" i="1" l="1"/>
  <c r="F262" i="1" s="1"/>
  <c r="B263" i="1" s="1"/>
  <c r="D263" i="1" s="1"/>
  <c r="E263" i="1" l="1"/>
  <c r="F263" i="1" s="1"/>
  <c r="B264" i="1" s="1"/>
  <c r="D264" i="1" s="1"/>
  <c r="E264" i="1" l="1"/>
  <c r="F264" i="1" s="1"/>
  <c r="B265" i="1" s="1"/>
  <c r="D265" i="1" s="1"/>
  <c r="E265" i="1" l="1"/>
  <c r="F265" i="1" s="1"/>
  <c r="B266" i="1" s="1"/>
  <c r="D266" i="1" s="1"/>
  <c r="E266" i="1" l="1"/>
  <c r="F266" i="1" s="1"/>
  <c r="B267" i="1" s="1"/>
  <c r="D267" i="1" s="1"/>
  <c r="E267" i="1" l="1"/>
  <c r="F267" i="1" s="1"/>
  <c r="B268" i="1" s="1"/>
  <c r="D268" i="1" s="1"/>
  <c r="E268" i="1" l="1"/>
  <c r="F268" i="1" s="1"/>
  <c r="B269" i="1" s="1"/>
  <c r="D269" i="1" s="1"/>
  <c r="E269" i="1" l="1"/>
  <c r="F269" i="1" s="1"/>
  <c r="B270" i="1" s="1"/>
  <c r="D270" i="1" s="1"/>
  <c r="E270" i="1" l="1"/>
  <c r="F270" i="1" s="1"/>
  <c r="B271" i="1" s="1"/>
  <c r="D271" i="1" s="1"/>
  <c r="E271" i="1" l="1"/>
  <c r="F271" i="1" s="1"/>
  <c r="B272" i="1" s="1"/>
  <c r="D272" i="1" s="1"/>
  <c r="E272" i="1" l="1"/>
  <c r="F272" i="1" s="1"/>
  <c r="B273" i="1" s="1"/>
  <c r="D273" i="1" s="1"/>
  <c r="E273" i="1" l="1"/>
  <c r="F273" i="1" s="1"/>
  <c r="B274" i="1" s="1"/>
  <c r="D274" i="1" s="1"/>
  <c r="E274" i="1" l="1"/>
  <c r="F274" i="1" s="1"/>
  <c r="B275" i="1" s="1"/>
  <c r="D275" i="1" s="1"/>
  <c r="E275" i="1" l="1"/>
  <c r="F275" i="1" s="1"/>
  <c r="B276" i="1" s="1"/>
  <c r="D276" i="1" s="1"/>
  <c r="E276" i="1" l="1"/>
  <c r="F276" i="1" s="1"/>
  <c r="B277" i="1" s="1"/>
  <c r="D277" i="1" s="1"/>
  <c r="E277" i="1" l="1"/>
  <c r="F277" i="1" s="1"/>
  <c r="B278" i="1" s="1"/>
  <c r="D278" i="1" s="1"/>
  <c r="E278" i="1" l="1"/>
  <c r="F278" i="1" s="1"/>
  <c r="B279" i="1" s="1"/>
  <c r="D279" i="1" s="1"/>
  <c r="E279" i="1" l="1"/>
  <c r="F279" i="1" s="1"/>
  <c r="B280" i="1" s="1"/>
  <c r="D280" i="1" s="1"/>
  <c r="E280" i="1" l="1"/>
  <c r="F280" i="1" s="1"/>
  <c r="B281" i="1" s="1"/>
  <c r="D281" i="1" s="1"/>
  <c r="E281" i="1" l="1"/>
  <c r="F281" i="1" s="1"/>
  <c r="B282" i="1" s="1"/>
  <c r="D282" i="1" s="1"/>
  <c r="E282" i="1" l="1"/>
  <c r="F282" i="1" s="1"/>
  <c r="B283" i="1" s="1"/>
  <c r="D283" i="1" s="1"/>
  <c r="E283" i="1" l="1"/>
  <c r="F283" i="1" s="1"/>
  <c r="B284" i="1" s="1"/>
  <c r="D284" i="1" s="1"/>
  <c r="E284" i="1" l="1"/>
  <c r="F284" i="1" s="1"/>
  <c r="B285" i="1" s="1"/>
  <c r="D285" i="1" s="1"/>
  <c r="E285" i="1" l="1"/>
  <c r="F285" i="1" s="1"/>
  <c r="B286" i="1" s="1"/>
  <c r="D286" i="1" s="1"/>
  <c r="E286" i="1" l="1"/>
  <c r="F286" i="1" s="1"/>
  <c r="B287" i="1" s="1"/>
  <c r="D287" i="1" s="1"/>
  <c r="E287" i="1" l="1"/>
  <c r="F287" i="1" s="1"/>
  <c r="B288" i="1" s="1"/>
  <c r="D288" i="1" s="1"/>
  <c r="E288" i="1" l="1"/>
  <c r="F288" i="1" s="1"/>
  <c r="B289" i="1" s="1"/>
  <c r="D289" i="1" s="1"/>
  <c r="E289" i="1" l="1"/>
  <c r="F289" i="1" s="1"/>
  <c r="B290" i="1" s="1"/>
  <c r="D290" i="1" s="1"/>
  <c r="E290" i="1" l="1"/>
  <c r="F290" i="1" s="1"/>
  <c r="B291" i="1" s="1"/>
  <c r="D291" i="1" s="1"/>
  <c r="E291" i="1" l="1"/>
  <c r="F291" i="1" s="1"/>
  <c r="B292" i="1" s="1"/>
  <c r="D292" i="1" s="1"/>
  <c r="E292" i="1" l="1"/>
  <c r="F292" i="1" s="1"/>
  <c r="B293" i="1" s="1"/>
  <c r="D293" i="1" s="1"/>
  <c r="E293" i="1" l="1"/>
  <c r="F293" i="1" s="1"/>
  <c r="B294" i="1" s="1"/>
  <c r="D294" i="1" s="1"/>
  <c r="E294" i="1" l="1"/>
  <c r="F294" i="1" s="1"/>
  <c r="B295" i="1" s="1"/>
  <c r="D295" i="1" s="1"/>
  <c r="E295" i="1" l="1"/>
  <c r="F295" i="1" s="1"/>
  <c r="B296" i="1" s="1"/>
  <c r="D296" i="1" s="1"/>
  <c r="E296" i="1" l="1"/>
  <c r="F296" i="1" s="1"/>
  <c r="B297" i="1" s="1"/>
  <c r="D297" i="1" s="1"/>
  <c r="E297" i="1" l="1"/>
  <c r="F297" i="1" s="1"/>
  <c r="B298" i="1" s="1"/>
  <c r="D298" i="1" s="1"/>
  <c r="E298" i="1" l="1"/>
  <c r="F298" i="1" s="1"/>
  <c r="B299" i="1" s="1"/>
  <c r="D299" i="1" s="1"/>
  <c r="E299" i="1" l="1"/>
  <c r="F299" i="1" s="1"/>
  <c r="B300" i="1" s="1"/>
  <c r="D300" i="1" s="1"/>
  <c r="E300" i="1" l="1"/>
  <c r="F300" i="1" s="1"/>
  <c r="B301" i="1" s="1"/>
  <c r="D301" i="1" s="1"/>
  <c r="E301" i="1" l="1"/>
  <c r="F301" i="1" s="1"/>
  <c r="B302" i="1" s="1"/>
  <c r="D302" i="1" s="1"/>
  <c r="E302" i="1" l="1"/>
  <c r="F302" i="1" s="1"/>
  <c r="B303" i="1" s="1"/>
  <c r="D303" i="1" s="1"/>
  <c r="E303" i="1" l="1"/>
  <c r="F303" i="1" s="1"/>
  <c r="B304" i="1" s="1"/>
  <c r="D304" i="1" s="1"/>
  <c r="E304" i="1" l="1"/>
  <c r="F304" i="1" s="1"/>
  <c r="B305" i="1" s="1"/>
  <c r="D305" i="1" s="1"/>
  <c r="E305" i="1" l="1"/>
  <c r="F305" i="1" s="1"/>
  <c r="B306" i="1" s="1"/>
  <c r="D306" i="1" s="1"/>
  <c r="E306" i="1" l="1"/>
  <c r="F306" i="1" s="1"/>
  <c r="B307" i="1" s="1"/>
  <c r="D307" i="1" s="1"/>
  <c r="E307" i="1" l="1"/>
  <c r="F307" i="1" s="1"/>
  <c r="B308" i="1" s="1"/>
  <c r="D308" i="1" s="1"/>
  <c r="E308" i="1" l="1"/>
  <c r="F308" i="1" s="1"/>
  <c r="B309" i="1" s="1"/>
  <c r="D309" i="1" s="1"/>
  <c r="E309" i="1" l="1"/>
  <c r="F309" i="1" s="1"/>
  <c r="B310" i="1" s="1"/>
  <c r="D310" i="1" s="1"/>
  <c r="E310" i="1" l="1"/>
  <c r="F310" i="1" s="1"/>
  <c r="B311" i="1" s="1"/>
  <c r="D311" i="1" s="1"/>
  <c r="E311" i="1" l="1"/>
  <c r="F311" i="1" s="1"/>
  <c r="B312" i="1" s="1"/>
  <c r="D312" i="1" s="1"/>
  <c r="E312" i="1" l="1"/>
  <c r="F312" i="1" s="1"/>
  <c r="B313" i="1" s="1"/>
  <c r="D313" i="1" s="1"/>
  <c r="E313" i="1" l="1"/>
  <c r="F313" i="1" s="1"/>
  <c r="B314" i="1" s="1"/>
  <c r="D314" i="1" s="1"/>
  <c r="E314" i="1" l="1"/>
  <c r="F314" i="1" s="1"/>
  <c r="B315" i="1" s="1"/>
  <c r="D315" i="1" s="1"/>
  <c r="E315" i="1" l="1"/>
  <c r="F315" i="1" s="1"/>
  <c r="B316" i="1" s="1"/>
  <c r="D316" i="1" s="1"/>
  <c r="E316" i="1" l="1"/>
  <c r="F316" i="1" s="1"/>
  <c r="B317" i="1" s="1"/>
  <c r="D317" i="1" s="1"/>
  <c r="E317" i="1" l="1"/>
  <c r="F317" i="1" s="1"/>
  <c r="B318" i="1" s="1"/>
  <c r="D318" i="1" s="1"/>
  <c r="E318" i="1" l="1"/>
  <c r="F318" i="1" s="1"/>
  <c r="B319" i="1" s="1"/>
  <c r="D319" i="1" s="1"/>
  <c r="E319" i="1" l="1"/>
  <c r="F319" i="1" s="1"/>
  <c r="B320" i="1" s="1"/>
  <c r="D320" i="1" s="1"/>
  <c r="E320" i="1" l="1"/>
  <c r="F320" i="1" s="1"/>
  <c r="B321" i="1" s="1"/>
  <c r="D321" i="1" s="1"/>
  <c r="E321" i="1" l="1"/>
  <c r="F321" i="1" s="1"/>
  <c r="B322" i="1" s="1"/>
  <c r="D322" i="1" s="1"/>
  <c r="E322" i="1" l="1"/>
  <c r="F322" i="1" s="1"/>
  <c r="B323" i="1" s="1"/>
  <c r="D323" i="1" s="1"/>
  <c r="E323" i="1" l="1"/>
  <c r="F323" i="1" s="1"/>
  <c r="B324" i="1" s="1"/>
  <c r="D324" i="1" s="1"/>
  <c r="E324" i="1" l="1"/>
  <c r="F324" i="1" s="1"/>
  <c r="B325" i="1" s="1"/>
  <c r="D325" i="1" s="1"/>
  <c r="E325" i="1" l="1"/>
  <c r="F325" i="1" s="1"/>
  <c r="B326" i="1" s="1"/>
  <c r="D326" i="1" s="1"/>
  <c r="E326" i="1" l="1"/>
  <c r="F326" i="1" s="1"/>
  <c r="B327" i="1" s="1"/>
  <c r="D327" i="1" s="1"/>
  <c r="E327" i="1" l="1"/>
  <c r="F327" i="1" s="1"/>
  <c r="B328" i="1" s="1"/>
  <c r="D328" i="1" s="1"/>
  <c r="E328" i="1" l="1"/>
  <c r="F328" i="1" s="1"/>
  <c r="B329" i="1" s="1"/>
  <c r="D329" i="1" s="1"/>
  <c r="E329" i="1" l="1"/>
  <c r="F329" i="1" s="1"/>
  <c r="B330" i="1" s="1"/>
  <c r="D330" i="1" s="1"/>
  <c r="E330" i="1" l="1"/>
  <c r="F330" i="1" s="1"/>
  <c r="B331" i="1" s="1"/>
  <c r="D331" i="1" s="1"/>
  <c r="E331" i="1" l="1"/>
  <c r="F331" i="1" s="1"/>
  <c r="B332" i="1" s="1"/>
  <c r="D332" i="1" s="1"/>
  <c r="E332" i="1" l="1"/>
  <c r="F332" i="1" s="1"/>
  <c r="B333" i="1" s="1"/>
  <c r="D333" i="1" s="1"/>
  <c r="E333" i="1" l="1"/>
  <c r="F333" i="1" s="1"/>
  <c r="B334" i="1" s="1"/>
  <c r="D334" i="1" s="1"/>
  <c r="E334" i="1" l="1"/>
  <c r="F334" i="1" s="1"/>
  <c r="B335" i="1" s="1"/>
  <c r="D335" i="1" s="1"/>
  <c r="E335" i="1" l="1"/>
  <c r="F335" i="1" s="1"/>
  <c r="B336" i="1" s="1"/>
  <c r="D336" i="1" s="1"/>
  <c r="E336" i="1" l="1"/>
  <c r="F336" i="1" s="1"/>
  <c r="B337" i="1" s="1"/>
  <c r="D337" i="1" s="1"/>
  <c r="E337" i="1" l="1"/>
  <c r="F337" i="1" s="1"/>
  <c r="B338" i="1" s="1"/>
  <c r="D338" i="1" s="1"/>
  <c r="E338" i="1" l="1"/>
  <c r="F338" i="1" s="1"/>
  <c r="B339" i="1" s="1"/>
  <c r="D339" i="1" s="1"/>
  <c r="E339" i="1" l="1"/>
  <c r="F339" i="1" s="1"/>
  <c r="B340" i="1" s="1"/>
  <c r="D340" i="1" s="1"/>
  <c r="E340" i="1" l="1"/>
  <c r="F340" i="1" s="1"/>
  <c r="B341" i="1" s="1"/>
  <c r="D341" i="1" s="1"/>
  <c r="E341" i="1" l="1"/>
  <c r="F341" i="1" s="1"/>
  <c r="B342" i="1" s="1"/>
  <c r="D342" i="1" s="1"/>
  <c r="E342" i="1" l="1"/>
  <c r="F342" i="1" s="1"/>
  <c r="B343" i="1" s="1"/>
  <c r="D343" i="1" s="1"/>
  <c r="E343" i="1" l="1"/>
  <c r="F343" i="1" s="1"/>
  <c r="B344" i="1" s="1"/>
  <c r="D344" i="1" s="1"/>
  <c r="E344" i="1" l="1"/>
  <c r="F344" i="1" s="1"/>
  <c r="B345" i="1" s="1"/>
  <c r="D345" i="1" s="1"/>
  <c r="E345" i="1" l="1"/>
  <c r="F345" i="1" s="1"/>
  <c r="B346" i="1" s="1"/>
  <c r="D346" i="1" s="1"/>
  <c r="E346" i="1" l="1"/>
  <c r="F346" i="1" s="1"/>
  <c r="B347" i="1" s="1"/>
  <c r="D347" i="1" s="1"/>
  <c r="E347" i="1" l="1"/>
  <c r="F347" i="1" s="1"/>
  <c r="B348" i="1" s="1"/>
  <c r="D348" i="1" s="1"/>
  <c r="E348" i="1" l="1"/>
  <c r="F348" i="1" s="1"/>
  <c r="B349" i="1" s="1"/>
  <c r="D349" i="1" s="1"/>
  <c r="E349" i="1" l="1"/>
  <c r="F349" i="1" s="1"/>
  <c r="B350" i="1" s="1"/>
  <c r="D350" i="1" s="1"/>
  <c r="E350" i="1" l="1"/>
  <c r="F350" i="1" s="1"/>
  <c r="B351" i="1" s="1"/>
  <c r="D351" i="1" s="1"/>
  <c r="E351" i="1" l="1"/>
  <c r="F351" i="1" s="1"/>
  <c r="B352" i="1" s="1"/>
  <c r="D352" i="1" s="1"/>
  <c r="E352" i="1" l="1"/>
  <c r="F352" i="1" s="1"/>
  <c r="B353" i="1" s="1"/>
  <c r="D353" i="1" s="1"/>
  <c r="E353" i="1" l="1"/>
  <c r="F353" i="1" s="1"/>
  <c r="B354" i="1" s="1"/>
  <c r="D354" i="1" s="1"/>
  <c r="E354" i="1" l="1"/>
  <c r="F354" i="1" s="1"/>
  <c r="B355" i="1" s="1"/>
  <c r="D355" i="1" s="1"/>
  <c r="E355" i="1" l="1"/>
  <c r="F355" i="1" s="1"/>
  <c r="B356" i="1" s="1"/>
  <c r="D356" i="1" s="1"/>
  <c r="E356" i="1" l="1"/>
  <c r="F356" i="1" s="1"/>
  <c r="B357" i="1" s="1"/>
  <c r="D357" i="1" s="1"/>
  <c r="E357" i="1" l="1"/>
  <c r="F357" i="1" s="1"/>
  <c r="B358" i="1" s="1"/>
  <c r="D358" i="1" s="1"/>
  <c r="E358" i="1" l="1"/>
  <c r="F358" i="1" s="1"/>
  <c r="B359" i="1" s="1"/>
  <c r="D359" i="1" s="1"/>
  <c r="E359" i="1" l="1"/>
  <c r="F359" i="1" s="1"/>
  <c r="B360" i="1" s="1"/>
  <c r="D360" i="1" s="1"/>
  <c r="E360" i="1" l="1"/>
  <c r="F360" i="1" s="1"/>
  <c r="B361" i="1" s="1"/>
  <c r="D361" i="1" s="1"/>
  <c r="E361" i="1" l="1"/>
  <c r="F361" i="1" s="1"/>
  <c r="B362" i="1" s="1"/>
  <c r="D362" i="1" s="1"/>
  <c r="E362" i="1" l="1"/>
  <c r="F362" i="1" s="1"/>
  <c r="B363" i="1" s="1"/>
  <c r="D363" i="1" s="1"/>
  <c r="E363" i="1" l="1"/>
  <c r="F363" i="1" s="1"/>
  <c r="B364" i="1" s="1"/>
  <c r="D364" i="1" s="1"/>
  <c r="E364" i="1" l="1"/>
  <c r="F364" i="1" s="1"/>
  <c r="B365" i="1" s="1"/>
  <c r="D365" i="1" s="1"/>
  <c r="E365" i="1" l="1"/>
  <c r="F365" i="1" s="1"/>
  <c r="B366" i="1" s="1"/>
  <c r="D366" i="1" s="1"/>
  <c r="E366" i="1" l="1"/>
  <c r="F366" i="1" s="1"/>
  <c r="B367" i="1" s="1"/>
  <c r="D367" i="1" s="1"/>
  <c r="E367" i="1" l="1"/>
  <c r="F367" i="1" s="1"/>
  <c r="B368" i="1" s="1"/>
  <c r="D368" i="1" s="1"/>
  <c r="E368" i="1" l="1"/>
  <c r="F368" i="1" s="1"/>
  <c r="B369" i="1" s="1"/>
  <c r="D369" i="1" s="1"/>
  <c r="E369" i="1" l="1"/>
  <c r="F369" i="1" s="1"/>
  <c r="B370" i="1" s="1"/>
  <c r="D370" i="1" s="1"/>
  <c r="E370" i="1" l="1"/>
  <c r="F370" i="1" s="1"/>
  <c r="B371" i="1" s="1"/>
  <c r="D371" i="1" s="1"/>
  <c r="E371" i="1" l="1"/>
  <c r="F371" i="1" s="1"/>
  <c r="B372" i="1" s="1"/>
  <c r="D372" i="1" s="1"/>
  <c r="E372" i="1" l="1"/>
  <c r="F372" i="1" s="1"/>
  <c r="B373" i="1" s="1"/>
  <c r="D373" i="1" s="1"/>
  <c r="E373" i="1" l="1"/>
  <c r="F373" i="1" s="1"/>
  <c r="B374" i="1" s="1"/>
  <c r="D374" i="1" s="1"/>
  <c r="D375" i="1" s="1"/>
  <c r="E374" i="1" l="1"/>
  <c r="F374" i="1" s="1"/>
</calcChain>
</file>

<file path=xl/sharedStrings.xml><?xml version="1.0" encoding="utf-8"?>
<sst xmlns="http://schemas.openxmlformats.org/spreadsheetml/2006/main" count="20" uniqueCount="19">
  <si>
    <t>FIN7037</t>
  </si>
  <si>
    <t>Term Project</t>
  </si>
  <si>
    <t>Value of Property</t>
  </si>
  <si>
    <t>Value at end of 30yrs</t>
  </si>
  <si>
    <t>Down Payment</t>
  </si>
  <si>
    <t>Closing Cost</t>
  </si>
  <si>
    <t>Tenure</t>
  </si>
  <si>
    <t>Interest Rate</t>
  </si>
  <si>
    <t>Mortgage Payment</t>
  </si>
  <si>
    <t>Return</t>
  </si>
  <si>
    <t>Period</t>
  </si>
  <si>
    <t>Beginning Balance</t>
  </si>
  <si>
    <t>Mortgage Interest</t>
  </si>
  <si>
    <t>Principal Payment</t>
  </si>
  <si>
    <t>Ending Balance</t>
  </si>
  <si>
    <t>Total</t>
  </si>
  <si>
    <t>IRR</t>
  </si>
  <si>
    <t>Semi Annual</t>
  </si>
  <si>
    <t>Bond Equivalent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</si>
</sst>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8" fontId="0" fillId="0" borderId="0" xfId="0" applyNumberFormat="1"/>
    <xf numFmtId="164" fontId="0" fillId="0" borderId="0" xfId="0" applyNumberFormat="1"/>
    <xf numFmtId="4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4" fontId="0" fillId="0" borderId="5" xfId="0" applyNumberFormat="1" applyBorder="1"/>
    <xf numFmtId="0" fontId="2" fillId="0" borderId="6" xfId="0" applyFont="1" applyBorder="1" applyAlignment="1">
      <alignment horizontal="right"/>
    </xf>
    <xf numFmtId="0" fontId="0" fillId="0" borderId="7" xfId="0" applyBorder="1"/>
    <xf numFmtId="8" fontId="2" fillId="0" borderId="7" xfId="0" applyNumberFormat="1" applyFont="1" applyBorder="1"/>
    <xf numFmtId="0" fontId="0" fillId="0" borderId="8" xfId="0" applyBorder="1"/>
    <xf numFmtId="0" fontId="2" fillId="0" borderId="0" xfId="0" applyFont="1"/>
    <xf numFmtId="10" fontId="2" fillId="0" borderId="0" xfId="0" applyNumberFormat="1" applyFont="1"/>
    <xf numFmtId="10" fontId="2" fillId="0" borderId="0" xfId="2" applyNumberFormat="1" applyFont="1"/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3526-D036-5A4D-A997-637F5E2B92F8}">
  <dimension ref="A1:L377"/>
  <sheetViews>
    <sheetView tabSelected="1" workbookViewId="0">
      <selection activeCell="F7" sqref="F7"/>
    </sheetView>
  </sheetViews>
  <sheetFormatPr baseColWidth="10" defaultColWidth="11" defaultRowHeight="16" x14ac:dyDescent="0.2"/>
  <cols>
    <col min="1" max="1" width="16" bestFit="1" customWidth="1"/>
    <col min="2" max="2" width="12.5" bestFit="1" customWidth="1"/>
    <col min="3" max="3" width="11.83203125" bestFit="1" customWidth="1"/>
    <col min="4" max="4" width="15.33203125" bestFit="1" customWidth="1"/>
    <col min="5" max="5" width="17.6640625" bestFit="1" customWidth="1"/>
    <col min="6" max="6" width="13.33203125" bestFit="1" customWidth="1"/>
    <col min="11" max="11" width="18.6640625" bestFit="1" customWidth="1"/>
    <col min="12" max="12" width="13.33203125" bestFit="1" customWidth="1"/>
  </cols>
  <sheetData>
    <row r="1" spans="1:12" x14ac:dyDescent="0.2">
      <c r="A1" t="s">
        <v>0</v>
      </c>
    </row>
    <row r="2" spans="1:12" x14ac:dyDescent="0.2">
      <c r="A2" t="s">
        <v>1</v>
      </c>
    </row>
    <row r="6" spans="1:12" x14ac:dyDescent="0.2">
      <c r="A6" t="s">
        <v>2</v>
      </c>
      <c r="B6" s="2">
        <v>400000</v>
      </c>
      <c r="E6" t="s">
        <v>3</v>
      </c>
      <c r="F6" s="3">
        <f>FV(3.5%,30,0,-B6)</f>
        <v>1122717.4818810509</v>
      </c>
    </row>
    <row r="7" spans="1:12" x14ac:dyDescent="0.2">
      <c r="A7" t="s">
        <v>4</v>
      </c>
      <c r="B7" s="2">
        <f>B6*20%</f>
        <v>80000</v>
      </c>
      <c r="E7" t="s">
        <v>5</v>
      </c>
      <c r="F7" s="18">
        <f>8100</f>
        <v>8100</v>
      </c>
    </row>
    <row r="8" spans="1:12" x14ac:dyDescent="0.2">
      <c r="A8" t="s">
        <v>6</v>
      </c>
      <c r="B8">
        <v>360</v>
      </c>
    </row>
    <row r="9" spans="1:12" x14ac:dyDescent="0.2">
      <c r="A9" t="s">
        <v>7</v>
      </c>
      <c r="B9" s="1">
        <v>7.2499999999999995E-2</v>
      </c>
    </row>
    <row r="12" spans="1:12" x14ac:dyDescent="0.2">
      <c r="A12" t="s">
        <v>8</v>
      </c>
      <c r="B12" s="3">
        <f>-PMT(B9/12,B8,B6-B7,0)</f>
        <v>2182.9640961798141</v>
      </c>
    </row>
    <row r="13" spans="1:12" ht="17" thickBot="1" x14ac:dyDescent="0.25">
      <c r="K13" t="s">
        <v>9</v>
      </c>
    </row>
    <row r="14" spans="1:12" x14ac:dyDescent="0.2">
      <c r="A14" s="6" t="s">
        <v>10</v>
      </c>
      <c r="B14" s="7" t="s">
        <v>11</v>
      </c>
      <c r="C14" s="7" t="s">
        <v>8</v>
      </c>
      <c r="D14" s="7" t="s">
        <v>12</v>
      </c>
      <c r="E14" s="7" t="s">
        <v>13</v>
      </c>
      <c r="F14" s="8" t="s">
        <v>14</v>
      </c>
      <c r="L14" s="4">
        <f>-B7-F7</f>
        <v>-88100</v>
      </c>
    </row>
    <row r="15" spans="1:12" x14ac:dyDescent="0.2">
      <c r="A15" s="9">
        <v>1</v>
      </c>
      <c r="B15" s="4">
        <f>B6-B7</f>
        <v>320000</v>
      </c>
      <c r="C15" s="3">
        <f>$B$12</f>
        <v>2182.9640961798141</v>
      </c>
      <c r="D15" s="5">
        <f>B15*$B$9/12</f>
        <v>1933.3333333333333</v>
      </c>
      <c r="E15" s="3">
        <f>C15-D15</f>
        <v>249.63076284648082</v>
      </c>
      <c r="F15" s="10">
        <f>B15-E15</f>
        <v>319750.3692371535</v>
      </c>
      <c r="L15">
        <f>200</f>
        <v>200</v>
      </c>
    </row>
    <row r="16" spans="1:12" x14ac:dyDescent="0.2">
      <c r="A16" s="9">
        <v>2</v>
      </c>
      <c r="B16" s="5">
        <f>F15</f>
        <v>319750.3692371535</v>
      </c>
      <c r="C16" s="3">
        <f t="shared" ref="C16:C79" si="0">$B$12</f>
        <v>2182.9640961798141</v>
      </c>
      <c r="D16" s="5">
        <f t="shared" ref="D16:D79" si="1">B16*$B$9/12</f>
        <v>1931.8251474744691</v>
      </c>
      <c r="E16" s="3">
        <f t="shared" ref="E16:E79" si="2">C16-D16</f>
        <v>251.138948705345</v>
      </c>
      <c r="F16" s="10">
        <f t="shared" ref="F16:F79" si="3">B16-E16</f>
        <v>319499.23028844816</v>
      </c>
      <c r="L16">
        <f>200</f>
        <v>200</v>
      </c>
    </row>
    <row r="17" spans="1:12" x14ac:dyDescent="0.2">
      <c r="A17" s="9">
        <v>3</v>
      </c>
      <c r="B17" s="5">
        <f t="shared" ref="B17:B80" si="4">F16</f>
        <v>319499.23028844816</v>
      </c>
      <c r="C17" s="3">
        <f t="shared" si="0"/>
        <v>2182.9640961798141</v>
      </c>
      <c r="D17" s="5">
        <f t="shared" si="1"/>
        <v>1930.3078496593741</v>
      </c>
      <c r="E17" s="3">
        <f t="shared" si="2"/>
        <v>252.65624652043994</v>
      </c>
      <c r="F17" s="10">
        <f t="shared" si="3"/>
        <v>319246.5740419277</v>
      </c>
      <c r="L17">
        <f>200</f>
        <v>200</v>
      </c>
    </row>
    <row r="18" spans="1:12" x14ac:dyDescent="0.2">
      <c r="A18" s="9">
        <v>4</v>
      </c>
      <c r="B18" s="5">
        <f t="shared" si="4"/>
        <v>319246.5740419277</v>
      </c>
      <c r="C18" s="3">
        <f t="shared" si="0"/>
        <v>2182.9640961798141</v>
      </c>
      <c r="D18" s="5">
        <f t="shared" si="1"/>
        <v>1928.7813848366466</v>
      </c>
      <c r="E18" s="3">
        <f t="shared" si="2"/>
        <v>254.18271134316751</v>
      </c>
      <c r="F18" s="10">
        <f t="shared" si="3"/>
        <v>318992.39133058453</v>
      </c>
      <c r="L18">
        <f>200</f>
        <v>200</v>
      </c>
    </row>
    <row r="19" spans="1:12" x14ac:dyDescent="0.2">
      <c r="A19" s="9">
        <v>5</v>
      </c>
      <c r="B19" s="5">
        <f t="shared" si="4"/>
        <v>318992.39133058453</v>
      </c>
      <c r="C19" s="3">
        <f t="shared" si="0"/>
        <v>2182.9640961798141</v>
      </c>
      <c r="D19" s="5">
        <f t="shared" si="1"/>
        <v>1927.2456976222813</v>
      </c>
      <c r="E19" s="3">
        <f t="shared" si="2"/>
        <v>255.71839855753274</v>
      </c>
      <c r="F19" s="10">
        <f t="shared" si="3"/>
        <v>318736.67293202702</v>
      </c>
      <c r="L19">
        <f>200</f>
        <v>200</v>
      </c>
    </row>
    <row r="20" spans="1:12" x14ac:dyDescent="0.2">
      <c r="A20" s="9">
        <v>6</v>
      </c>
      <c r="B20" s="5">
        <f t="shared" si="4"/>
        <v>318736.67293202702</v>
      </c>
      <c r="C20" s="3">
        <f t="shared" si="0"/>
        <v>2182.9640961798141</v>
      </c>
      <c r="D20" s="5">
        <f t="shared" si="1"/>
        <v>1925.7007322976631</v>
      </c>
      <c r="E20" s="3">
        <f t="shared" si="2"/>
        <v>257.263363882151</v>
      </c>
      <c r="F20" s="10">
        <f t="shared" si="3"/>
        <v>318479.40956814488</v>
      </c>
      <c r="L20">
        <f>200</f>
        <v>200</v>
      </c>
    </row>
    <row r="21" spans="1:12" x14ac:dyDescent="0.2">
      <c r="A21" s="9">
        <v>7</v>
      </c>
      <c r="B21" s="5">
        <f t="shared" si="4"/>
        <v>318479.40956814488</v>
      </c>
      <c r="C21" s="3">
        <f t="shared" si="0"/>
        <v>2182.9640961798141</v>
      </c>
      <c r="D21" s="5">
        <f t="shared" si="1"/>
        <v>1924.1464328075417</v>
      </c>
      <c r="E21" s="3">
        <f t="shared" si="2"/>
        <v>258.81766337227236</v>
      </c>
      <c r="F21" s="10">
        <f t="shared" si="3"/>
        <v>318220.59190477262</v>
      </c>
      <c r="L21">
        <f>200</f>
        <v>200</v>
      </c>
    </row>
    <row r="22" spans="1:12" x14ac:dyDescent="0.2">
      <c r="A22" s="9">
        <v>8</v>
      </c>
      <c r="B22" s="5">
        <f t="shared" si="4"/>
        <v>318220.59190477262</v>
      </c>
      <c r="C22" s="3">
        <f t="shared" si="0"/>
        <v>2182.9640961798141</v>
      </c>
      <c r="D22" s="5">
        <f t="shared" si="1"/>
        <v>1922.5827427580009</v>
      </c>
      <c r="E22" s="3">
        <f t="shared" si="2"/>
        <v>260.38135342181317</v>
      </c>
      <c r="F22" s="10">
        <f t="shared" si="3"/>
        <v>317960.21055135078</v>
      </c>
      <c r="L22">
        <f>200</f>
        <v>200</v>
      </c>
    </row>
    <row r="23" spans="1:12" x14ac:dyDescent="0.2">
      <c r="A23" s="9">
        <v>9</v>
      </c>
      <c r="B23" s="5">
        <f t="shared" si="4"/>
        <v>317960.21055135078</v>
      </c>
      <c r="C23" s="3">
        <f t="shared" si="0"/>
        <v>2182.9640961798141</v>
      </c>
      <c r="D23" s="5">
        <f t="shared" si="1"/>
        <v>1921.0096054144108</v>
      </c>
      <c r="E23" s="3">
        <f t="shared" si="2"/>
        <v>261.95449076540331</v>
      </c>
      <c r="F23" s="10">
        <f t="shared" si="3"/>
        <v>317698.25606058538</v>
      </c>
      <c r="L23">
        <f>200</f>
        <v>200</v>
      </c>
    </row>
    <row r="24" spans="1:12" x14ac:dyDescent="0.2">
      <c r="A24" s="9">
        <v>10</v>
      </c>
      <c r="B24" s="5">
        <f t="shared" si="4"/>
        <v>317698.25606058538</v>
      </c>
      <c r="C24" s="3">
        <f t="shared" si="0"/>
        <v>2182.9640961798141</v>
      </c>
      <c r="D24" s="5">
        <f t="shared" si="1"/>
        <v>1919.4269636993697</v>
      </c>
      <c r="E24" s="3">
        <f t="shared" si="2"/>
        <v>263.53713248044437</v>
      </c>
      <c r="F24" s="10">
        <f t="shared" si="3"/>
        <v>317434.71892810491</v>
      </c>
      <c r="L24">
        <f>200</f>
        <v>200</v>
      </c>
    </row>
    <row r="25" spans="1:12" x14ac:dyDescent="0.2">
      <c r="A25" s="9">
        <v>11</v>
      </c>
      <c r="B25" s="5">
        <f t="shared" si="4"/>
        <v>317434.71892810491</v>
      </c>
      <c r="C25" s="3">
        <f t="shared" si="0"/>
        <v>2182.9640961798141</v>
      </c>
      <c r="D25" s="5">
        <f t="shared" si="1"/>
        <v>1917.8347601906337</v>
      </c>
      <c r="E25" s="3">
        <f t="shared" si="2"/>
        <v>265.12933598918039</v>
      </c>
      <c r="F25" s="10">
        <f t="shared" si="3"/>
        <v>317169.58959211572</v>
      </c>
      <c r="L25">
        <f>200</f>
        <v>200</v>
      </c>
    </row>
    <row r="26" spans="1:12" x14ac:dyDescent="0.2">
      <c r="A26" s="9">
        <v>12</v>
      </c>
      <c r="B26" s="5">
        <f t="shared" si="4"/>
        <v>317169.58959211572</v>
      </c>
      <c r="C26" s="3">
        <f t="shared" si="0"/>
        <v>2182.9640961798141</v>
      </c>
      <c r="D26" s="5">
        <f t="shared" si="1"/>
        <v>1916.2329371190324</v>
      </c>
      <c r="E26" s="3">
        <f t="shared" si="2"/>
        <v>266.73115906078169</v>
      </c>
      <c r="F26" s="10">
        <f t="shared" si="3"/>
        <v>316902.85843305493</v>
      </c>
      <c r="L26">
        <f>200</f>
        <v>200</v>
      </c>
    </row>
    <row r="27" spans="1:12" x14ac:dyDescent="0.2">
      <c r="A27" s="9">
        <v>13</v>
      </c>
      <c r="B27" s="5">
        <f t="shared" si="4"/>
        <v>316902.85843305493</v>
      </c>
      <c r="C27" s="3">
        <f t="shared" si="0"/>
        <v>2182.9640961798141</v>
      </c>
      <c r="D27" s="5">
        <f t="shared" si="1"/>
        <v>1914.6214363663732</v>
      </c>
      <c r="E27" s="3">
        <f t="shared" si="2"/>
        <v>268.34265981344083</v>
      </c>
      <c r="F27" s="10">
        <f t="shared" si="3"/>
        <v>316634.51577324147</v>
      </c>
      <c r="L27">
        <f>200</f>
        <v>200</v>
      </c>
    </row>
    <row r="28" spans="1:12" x14ac:dyDescent="0.2">
      <c r="A28" s="9">
        <v>14</v>
      </c>
      <c r="B28" s="5">
        <f t="shared" si="4"/>
        <v>316634.51577324147</v>
      </c>
      <c r="C28" s="3">
        <f t="shared" si="0"/>
        <v>2182.9640961798141</v>
      </c>
      <c r="D28" s="5">
        <f t="shared" si="1"/>
        <v>1913.0001994633337</v>
      </c>
      <c r="E28" s="3">
        <f t="shared" si="2"/>
        <v>269.96389671648035</v>
      </c>
      <c r="F28" s="10">
        <f t="shared" si="3"/>
        <v>316364.55187652499</v>
      </c>
      <c r="L28">
        <f>200</f>
        <v>200</v>
      </c>
    </row>
    <row r="29" spans="1:12" x14ac:dyDescent="0.2">
      <c r="A29" s="9">
        <v>15</v>
      </c>
      <c r="B29" s="5">
        <f t="shared" si="4"/>
        <v>316364.55187652499</v>
      </c>
      <c r="C29" s="3">
        <f t="shared" si="0"/>
        <v>2182.9640961798141</v>
      </c>
      <c r="D29" s="5">
        <f t="shared" si="1"/>
        <v>1911.3691675873386</v>
      </c>
      <c r="E29" s="3">
        <f t="shared" si="2"/>
        <v>271.59492859247553</v>
      </c>
      <c r="F29" s="10">
        <f t="shared" si="3"/>
        <v>316092.95694793249</v>
      </c>
      <c r="L29">
        <f>200</f>
        <v>200</v>
      </c>
    </row>
    <row r="30" spans="1:12" x14ac:dyDescent="0.2">
      <c r="A30" s="9">
        <v>16</v>
      </c>
      <c r="B30" s="5">
        <f t="shared" si="4"/>
        <v>316092.95694793249</v>
      </c>
      <c r="C30" s="3">
        <f t="shared" si="0"/>
        <v>2182.9640961798141</v>
      </c>
      <c r="D30" s="5">
        <f t="shared" si="1"/>
        <v>1909.7282815604251</v>
      </c>
      <c r="E30" s="3">
        <f t="shared" si="2"/>
        <v>273.23581461938898</v>
      </c>
      <c r="F30" s="10">
        <f t="shared" si="3"/>
        <v>315819.72113331308</v>
      </c>
      <c r="L30">
        <f>200</f>
        <v>200</v>
      </c>
    </row>
    <row r="31" spans="1:12" x14ac:dyDescent="0.2">
      <c r="A31" s="9">
        <v>17</v>
      </c>
      <c r="B31" s="5">
        <f t="shared" si="4"/>
        <v>315819.72113331308</v>
      </c>
      <c r="C31" s="3">
        <f t="shared" si="0"/>
        <v>2182.9640961798141</v>
      </c>
      <c r="D31" s="5">
        <f t="shared" si="1"/>
        <v>1908.0774818470998</v>
      </c>
      <c r="E31" s="3">
        <f t="shared" si="2"/>
        <v>274.88661433271432</v>
      </c>
      <c r="F31" s="10">
        <f t="shared" si="3"/>
        <v>315544.83451898035</v>
      </c>
      <c r="L31">
        <f>200</f>
        <v>200</v>
      </c>
    </row>
    <row r="32" spans="1:12" x14ac:dyDescent="0.2">
      <c r="A32" s="9">
        <v>18</v>
      </c>
      <c r="B32" s="5">
        <f t="shared" si="4"/>
        <v>315544.83451898035</v>
      </c>
      <c r="C32" s="3">
        <f t="shared" si="0"/>
        <v>2182.9640961798141</v>
      </c>
      <c r="D32" s="5">
        <f t="shared" si="1"/>
        <v>1906.4167085521728</v>
      </c>
      <c r="E32" s="3">
        <f t="shared" si="2"/>
        <v>276.54738762764123</v>
      </c>
      <c r="F32" s="10">
        <f t="shared" si="3"/>
        <v>315268.2871313527</v>
      </c>
      <c r="L32">
        <f>200</f>
        <v>200</v>
      </c>
    </row>
    <row r="33" spans="1:12" x14ac:dyDescent="0.2">
      <c r="A33" s="9">
        <v>19</v>
      </c>
      <c r="B33" s="5">
        <f t="shared" si="4"/>
        <v>315268.2871313527</v>
      </c>
      <c r="C33" s="3">
        <f t="shared" si="0"/>
        <v>2182.9640961798141</v>
      </c>
      <c r="D33" s="5">
        <f t="shared" si="1"/>
        <v>1904.745901418589</v>
      </c>
      <c r="E33" s="3">
        <f t="shared" si="2"/>
        <v>278.21819476122505</v>
      </c>
      <c r="F33" s="10">
        <f t="shared" si="3"/>
        <v>314990.0689365915</v>
      </c>
      <c r="L33">
        <f>200</f>
        <v>200</v>
      </c>
    </row>
    <row r="34" spans="1:12" x14ac:dyDescent="0.2">
      <c r="A34" s="9">
        <v>20</v>
      </c>
      <c r="B34" s="5">
        <f t="shared" si="4"/>
        <v>314990.0689365915</v>
      </c>
      <c r="C34" s="3">
        <f t="shared" si="0"/>
        <v>2182.9640961798141</v>
      </c>
      <c r="D34" s="5">
        <f t="shared" si="1"/>
        <v>1903.0649998252402</v>
      </c>
      <c r="E34" s="3">
        <f t="shared" si="2"/>
        <v>279.89909635457389</v>
      </c>
      <c r="F34" s="10">
        <f t="shared" si="3"/>
        <v>314710.16984023695</v>
      </c>
      <c r="L34">
        <f>200</f>
        <v>200</v>
      </c>
    </row>
    <row r="35" spans="1:12" x14ac:dyDescent="0.2">
      <c r="A35" s="9">
        <v>21</v>
      </c>
      <c r="B35" s="5">
        <f t="shared" si="4"/>
        <v>314710.16984023695</v>
      </c>
      <c r="C35" s="3">
        <f t="shared" si="0"/>
        <v>2182.9640961798141</v>
      </c>
      <c r="D35" s="5">
        <f t="shared" si="1"/>
        <v>1901.3739427847647</v>
      </c>
      <c r="E35" s="3">
        <f t="shared" si="2"/>
        <v>281.59015339504936</v>
      </c>
      <c r="F35" s="10">
        <f t="shared" si="3"/>
        <v>314428.57968684193</v>
      </c>
      <c r="L35">
        <f>200</f>
        <v>200</v>
      </c>
    </row>
    <row r="36" spans="1:12" x14ac:dyDescent="0.2">
      <c r="A36" s="9">
        <v>22</v>
      </c>
      <c r="B36" s="5">
        <f t="shared" si="4"/>
        <v>314428.57968684193</v>
      </c>
      <c r="C36" s="3">
        <f t="shared" si="0"/>
        <v>2182.9640961798141</v>
      </c>
      <c r="D36" s="5">
        <f t="shared" si="1"/>
        <v>1899.6726689413365</v>
      </c>
      <c r="E36" s="3">
        <f t="shared" si="2"/>
        <v>283.29142723847758</v>
      </c>
      <c r="F36" s="10">
        <f t="shared" si="3"/>
        <v>314145.28825960343</v>
      </c>
      <c r="L36">
        <f>200</f>
        <v>200</v>
      </c>
    </row>
    <row r="37" spans="1:12" x14ac:dyDescent="0.2">
      <c r="A37" s="9">
        <v>23</v>
      </c>
      <c r="B37" s="5">
        <f t="shared" si="4"/>
        <v>314145.28825960343</v>
      </c>
      <c r="C37" s="3">
        <f t="shared" si="0"/>
        <v>2182.9640961798141</v>
      </c>
      <c r="D37" s="5">
        <f t="shared" si="1"/>
        <v>1897.9611165684373</v>
      </c>
      <c r="E37" s="3">
        <f t="shared" si="2"/>
        <v>285.00297961137676</v>
      </c>
      <c r="F37" s="10">
        <f t="shared" si="3"/>
        <v>313860.28527999204</v>
      </c>
      <c r="L37">
        <f>200</f>
        <v>200</v>
      </c>
    </row>
    <row r="38" spans="1:12" x14ac:dyDescent="0.2">
      <c r="A38" s="9">
        <v>24</v>
      </c>
      <c r="B38" s="5">
        <f t="shared" si="4"/>
        <v>313860.28527999204</v>
      </c>
      <c r="C38" s="3">
        <f t="shared" si="0"/>
        <v>2182.9640961798141</v>
      </c>
      <c r="D38" s="5">
        <f t="shared" si="1"/>
        <v>1896.2392235666184</v>
      </c>
      <c r="E38" s="3">
        <f t="shared" si="2"/>
        <v>286.72487261319566</v>
      </c>
      <c r="F38" s="10">
        <f t="shared" si="3"/>
        <v>313573.56040737883</v>
      </c>
      <c r="L38">
        <f>200</f>
        <v>200</v>
      </c>
    </row>
    <row r="39" spans="1:12" x14ac:dyDescent="0.2">
      <c r="A39" s="9">
        <v>25</v>
      </c>
      <c r="B39" s="5">
        <f t="shared" si="4"/>
        <v>313573.56040737883</v>
      </c>
      <c r="C39" s="3">
        <f t="shared" si="0"/>
        <v>2182.9640961798141</v>
      </c>
      <c r="D39" s="5">
        <f t="shared" si="1"/>
        <v>1894.506927461247</v>
      </c>
      <c r="E39" s="3">
        <f t="shared" si="2"/>
        <v>288.45716871856712</v>
      </c>
      <c r="F39" s="10">
        <f t="shared" si="3"/>
        <v>313285.10323866026</v>
      </c>
      <c r="L39">
        <f>200</f>
        <v>200</v>
      </c>
    </row>
    <row r="40" spans="1:12" x14ac:dyDescent="0.2">
      <c r="A40" s="9">
        <v>26</v>
      </c>
      <c r="B40" s="5">
        <f t="shared" si="4"/>
        <v>313285.10323866026</v>
      </c>
      <c r="C40" s="3">
        <f t="shared" si="0"/>
        <v>2182.9640961798141</v>
      </c>
      <c r="D40" s="5">
        <f t="shared" si="1"/>
        <v>1892.7641654002389</v>
      </c>
      <c r="E40" s="3">
        <f t="shared" si="2"/>
        <v>290.1999307795752</v>
      </c>
      <c r="F40" s="10">
        <f t="shared" si="3"/>
        <v>312994.90330788068</v>
      </c>
      <c r="L40">
        <f>200</f>
        <v>200</v>
      </c>
    </row>
    <row r="41" spans="1:12" x14ac:dyDescent="0.2">
      <c r="A41" s="9">
        <v>27</v>
      </c>
      <c r="B41" s="5">
        <f t="shared" si="4"/>
        <v>312994.90330788068</v>
      </c>
      <c r="C41" s="3">
        <f t="shared" si="0"/>
        <v>2182.9640961798141</v>
      </c>
      <c r="D41" s="5">
        <f t="shared" si="1"/>
        <v>1891.010874151779</v>
      </c>
      <c r="E41" s="3">
        <f t="shared" si="2"/>
        <v>291.95322202803504</v>
      </c>
      <c r="F41" s="10">
        <f t="shared" si="3"/>
        <v>312702.95008585264</v>
      </c>
      <c r="L41">
        <f>200</f>
        <v>200</v>
      </c>
    </row>
    <row r="42" spans="1:12" x14ac:dyDescent="0.2">
      <c r="A42" s="9">
        <v>28</v>
      </c>
      <c r="B42" s="5">
        <f t="shared" si="4"/>
        <v>312702.95008585264</v>
      </c>
      <c r="C42" s="3">
        <f t="shared" si="0"/>
        <v>2182.9640961798141</v>
      </c>
      <c r="D42" s="5">
        <f t="shared" si="1"/>
        <v>1889.2469901020261</v>
      </c>
      <c r="E42" s="3">
        <f t="shared" si="2"/>
        <v>293.717106077788</v>
      </c>
      <c r="F42" s="10">
        <f t="shared" si="3"/>
        <v>312409.23297977488</v>
      </c>
      <c r="L42">
        <f>200</f>
        <v>200</v>
      </c>
    </row>
    <row r="43" spans="1:12" x14ac:dyDescent="0.2">
      <c r="A43" s="9">
        <v>29</v>
      </c>
      <c r="B43" s="5">
        <f t="shared" si="4"/>
        <v>312409.23297977488</v>
      </c>
      <c r="C43" s="3">
        <f t="shared" si="0"/>
        <v>2182.9640961798141</v>
      </c>
      <c r="D43" s="5">
        <f t="shared" si="1"/>
        <v>1887.4724492528064</v>
      </c>
      <c r="E43" s="3">
        <f t="shared" si="2"/>
        <v>295.49164692700765</v>
      </c>
      <c r="F43" s="10">
        <f t="shared" si="3"/>
        <v>312113.74133284786</v>
      </c>
      <c r="L43">
        <f>200</f>
        <v>200</v>
      </c>
    </row>
    <row r="44" spans="1:12" x14ac:dyDescent="0.2">
      <c r="A44" s="9">
        <v>30</v>
      </c>
      <c r="B44" s="5">
        <f t="shared" si="4"/>
        <v>312113.74133284786</v>
      </c>
      <c r="C44" s="3">
        <f t="shared" si="0"/>
        <v>2182.9640961798141</v>
      </c>
      <c r="D44" s="5">
        <f t="shared" si="1"/>
        <v>1885.6871872192889</v>
      </c>
      <c r="E44" s="3">
        <f t="shared" si="2"/>
        <v>297.27690896052513</v>
      </c>
      <c r="F44" s="10">
        <f t="shared" si="3"/>
        <v>311816.46442388732</v>
      </c>
      <c r="L44">
        <f>200</f>
        <v>200</v>
      </c>
    </row>
    <row r="45" spans="1:12" x14ac:dyDescent="0.2">
      <c r="A45" s="9">
        <v>31</v>
      </c>
      <c r="B45" s="5">
        <f t="shared" si="4"/>
        <v>311816.46442388732</v>
      </c>
      <c r="C45" s="3">
        <f t="shared" si="0"/>
        <v>2182.9640961798141</v>
      </c>
      <c r="D45" s="5">
        <f t="shared" si="1"/>
        <v>1883.8911392276523</v>
      </c>
      <c r="E45" s="3">
        <f t="shared" si="2"/>
        <v>299.0729569521618</v>
      </c>
      <c r="F45" s="10">
        <f t="shared" si="3"/>
        <v>311517.39146693517</v>
      </c>
      <c r="L45">
        <f>200</f>
        <v>200</v>
      </c>
    </row>
    <row r="46" spans="1:12" x14ac:dyDescent="0.2">
      <c r="A46" s="9">
        <v>32</v>
      </c>
      <c r="B46" s="5">
        <f t="shared" si="4"/>
        <v>311517.39146693517</v>
      </c>
      <c r="C46" s="3">
        <f t="shared" si="0"/>
        <v>2182.9640961798141</v>
      </c>
      <c r="D46" s="5">
        <f t="shared" si="1"/>
        <v>1882.0842401127331</v>
      </c>
      <c r="E46" s="3">
        <f t="shared" si="2"/>
        <v>300.87985606708094</v>
      </c>
      <c r="F46" s="10">
        <f t="shared" si="3"/>
        <v>311216.5116108681</v>
      </c>
      <c r="L46">
        <f>200</f>
        <v>200</v>
      </c>
    </row>
    <row r="47" spans="1:12" x14ac:dyDescent="0.2">
      <c r="A47" s="9">
        <v>33</v>
      </c>
      <c r="B47" s="5">
        <f t="shared" si="4"/>
        <v>311216.5116108681</v>
      </c>
      <c r="C47" s="3">
        <f t="shared" si="0"/>
        <v>2182.9640961798141</v>
      </c>
      <c r="D47" s="5">
        <f t="shared" si="1"/>
        <v>1880.2664243156614</v>
      </c>
      <c r="E47" s="3">
        <f t="shared" si="2"/>
        <v>302.69767186415265</v>
      </c>
      <c r="F47" s="10">
        <f t="shared" si="3"/>
        <v>310913.81393900397</v>
      </c>
      <c r="L47">
        <f>200</f>
        <v>200</v>
      </c>
    </row>
    <row r="48" spans="1:12" x14ac:dyDescent="0.2">
      <c r="A48" s="9">
        <v>34</v>
      </c>
      <c r="B48" s="5">
        <f t="shared" si="4"/>
        <v>310913.81393900397</v>
      </c>
      <c r="C48" s="3">
        <f t="shared" si="0"/>
        <v>2182.9640961798141</v>
      </c>
      <c r="D48" s="5">
        <f t="shared" si="1"/>
        <v>1878.4376258814821</v>
      </c>
      <c r="E48" s="3">
        <f t="shared" si="2"/>
        <v>304.52647029833201</v>
      </c>
      <c r="F48" s="10">
        <f t="shared" si="3"/>
        <v>310609.28746870562</v>
      </c>
      <c r="L48">
        <f>200</f>
        <v>200</v>
      </c>
    </row>
    <row r="49" spans="1:12" x14ac:dyDescent="0.2">
      <c r="A49" s="9">
        <v>35</v>
      </c>
      <c r="B49" s="5">
        <f t="shared" si="4"/>
        <v>310609.28746870562</v>
      </c>
      <c r="C49" s="3">
        <f t="shared" si="0"/>
        <v>2182.9640961798141</v>
      </c>
      <c r="D49" s="5">
        <f t="shared" si="1"/>
        <v>1876.5977784567631</v>
      </c>
      <c r="E49" s="3">
        <f t="shared" si="2"/>
        <v>306.366317723051</v>
      </c>
      <c r="F49" s="10">
        <f t="shared" si="3"/>
        <v>310302.92115098255</v>
      </c>
      <c r="L49">
        <f>200</f>
        <v>200</v>
      </c>
    </row>
    <row r="50" spans="1:12" x14ac:dyDescent="0.2">
      <c r="A50" s="9">
        <v>36</v>
      </c>
      <c r="B50" s="5">
        <f t="shared" si="4"/>
        <v>310302.92115098255</v>
      </c>
      <c r="C50" s="3">
        <f t="shared" si="0"/>
        <v>2182.9640961798141</v>
      </c>
      <c r="D50" s="5">
        <f t="shared" si="1"/>
        <v>1874.7468152871861</v>
      </c>
      <c r="E50" s="3">
        <f t="shared" si="2"/>
        <v>308.21728089262797</v>
      </c>
      <c r="F50" s="10">
        <f t="shared" si="3"/>
        <v>309994.7038700899</v>
      </c>
      <c r="L50">
        <f>200</f>
        <v>200</v>
      </c>
    </row>
    <row r="51" spans="1:12" x14ac:dyDescent="0.2">
      <c r="A51" s="9">
        <v>37</v>
      </c>
      <c r="B51" s="5">
        <f t="shared" si="4"/>
        <v>309994.7038700899</v>
      </c>
      <c r="C51" s="3">
        <f t="shared" si="0"/>
        <v>2182.9640961798141</v>
      </c>
      <c r="D51" s="5">
        <f t="shared" si="1"/>
        <v>1872.8846692151265</v>
      </c>
      <c r="E51" s="3">
        <f t="shared" si="2"/>
        <v>310.07942696468763</v>
      </c>
      <c r="F51" s="10">
        <f t="shared" si="3"/>
        <v>309684.62444312521</v>
      </c>
      <c r="L51">
        <f>200</f>
        <v>200</v>
      </c>
    </row>
    <row r="52" spans="1:12" x14ac:dyDescent="0.2">
      <c r="A52" s="9">
        <v>38</v>
      </c>
      <c r="B52" s="5">
        <f t="shared" si="4"/>
        <v>309684.62444312521</v>
      </c>
      <c r="C52" s="3">
        <f t="shared" si="0"/>
        <v>2182.9640961798141</v>
      </c>
      <c r="D52" s="5">
        <f t="shared" si="1"/>
        <v>1871.0112726772147</v>
      </c>
      <c r="E52" s="3">
        <f t="shared" si="2"/>
        <v>311.95282350259936</v>
      </c>
      <c r="F52" s="10">
        <f t="shared" si="3"/>
        <v>309372.67161962262</v>
      </c>
      <c r="L52">
        <f>200</f>
        <v>200</v>
      </c>
    </row>
    <row r="53" spans="1:12" x14ac:dyDescent="0.2">
      <c r="A53" s="9">
        <v>39</v>
      </c>
      <c r="B53" s="5">
        <f t="shared" si="4"/>
        <v>309372.67161962262</v>
      </c>
      <c r="C53" s="3">
        <f t="shared" si="0"/>
        <v>2182.9640961798141</v>
      </c>
      <c r="D53" s="5">
        <f t="shared" si="1"/>
        <v>1869.1265577018867</v>
      </c>
      <c r="E53" s="3">
        <f t="shared" si="2"/>
        <v>313.83753847792741</v>
      </c>
      <c r="F53" s="10">
        <f t="shared" si="3"/>
        <v>309058.83408114471</v>
      </c>
      <c r="L53">
        <f>200</f>
        <v>200</v>
      </c>
    </row>
    <row r="54" spans="1:12" x14ac:dyDescent="0.2">
      <c r="A54" s="9">
        <v>40</v>
      </c>
      <c r="B54" s="5">
        <f t="shared" si="4"/>
        <v>309058.83408114471</v>
      </c>
      <c r="C54" s="3">
        <f t="shared" si="0"/>
        <v>2182.9640961798141</v>
      </c>
      <c r="D54" s="5">
        <f t="shared" si="1"/>
        <v>1867.2304559069159</v>
      </c>
      <c r="E54" s="3">
        <f t="shared" si="2"/>
        <v>315.73364027289813</v>
      </c>
      <c r="F54" s="10">
        <f t="shared" si="3"/>
        <v>308743.10044087179</v>
      </c>
      <c r="L54">
        <f>200</f>
        <v>200</v>
      </c>
    </row>
    <row r="55" spans="1:12" x14ac:dyDescent="0.2">
      <c r="A55" s="9">
        <v>41</v>
      </c>
      <c r="B55" s="5">
        <f t="shared" si="4"/>
        <v>308743.10044087179</v>
      </c>
      <c r="C55" s="3">
        <f t="shared" si="0"/>
        <v>2182.9640961798141</v>
      </c>
      <c r="D55" s="5">
        <f t="shared" si="1"/>
        <v>1865.3228984969337</v>
      </c>
      <c r="E55" s="3">
        <f t="shared" si="2"/>
        <v>317.64119768288037</v>
      </c>
      <c r="F55" s="10">
        <f t="shared" si="3"/>
        <v>308425.4592431889</v>
      </c>
      <c r="L55">
        <f>200</f>
        <v>200</v>
      </c>
    </row>
    <row r="56" spans="1:12" x14ac:dyDescent="0.2">
      <c r="A56" s="9">
        <v>42</v>
      </c>
      <c r="B56" s="5">
        <f t="shared" si="4"/>
        <v>308425.4592431889</v>
      </c>
      <c r="C56" s="3">
        <f t="shared" si="0"/>
        <v>2182.9640961798141</v>
      </c>
      <c r="D56" s="5">
        <f t="shared" si="1"/>
        <v>1863.4038162609329</v>
      </c>
      <c r="E56" s="3">
        <f t="shared" si="2"/>
        <v>319.56027991888118</v>
      </c>
      <c r="F56" s="10">
        <f t="shared" si="3"/>
        <v>308105.89896327001</v>
      </c>
      <c r="L56">
        <f>200</f>
        <v>200</v>
      </c>
    </row>
    <row r="57" spans="1:12" x14ac:dyDescent="0.2">
      <c r="A57" s="9">
        <v>43</v>
      </c>
      <c r="B57" s="5">
        <f t="shared" si="4"/>
        <v>308105.89896327001</v>
      </c>
      <c r="C57" s="3">
        <f t="shared" si="0"/>
        <v>2182.9640961798141</v>
      </c>
      <c r="D57" s="5">
        <f t="shared" si="1"/>
        <v>1861.4731395697563</v>
      </c>
      <c r="E57" s="3">
        <f t="shared" si="2"/>
        <v>321.49095661005776</v>
      </c>
      <c r="F57" s="10">
        <f t="shared" si="3"/>
        <v>307784.40800665994</v>
      </c>
      <c r="L57">
        <f>200</f>
        <v>200</v>
      </c>
    </row>
    <row r="58" spans="1:12" x14ac:dyDescent="0.2">
      <c r="A58" s="9">
        <v>44</v>
      </c>
      <c r="B58" s="5">
        <f t="shared" si="4"/>
        <v>307784.40800665994</v>
      </c>
      <c r="C58" s="3">
        <f t="shared" si="0"/>
        <v>2182.9640961798141</v>
      </c>
      <c r="D58" s="5">
        <f t="shared" si="1"/>
        <v>1859.5307983735704</v>
      </c>
      <c r="E58" s="3">
        <f t="shared" si="2"/>
        <v>323.43329780624367</v>
      </c>
      <c r="F58" s="10">
        <f t="shared" si="3"/>
        <v>307460.9747088537</v>
      </c>
      <c r="L58">
        <f>200</f>
        <v>200</v>
      </c>
    </row>
    <row r="59" spans="1:12" x14ac:dyDescent="0.2">
      <c r="A59" s="9">
        <v>45</v>
      </c>
      <c r="B59" s="5">
        <f t="shared" si="4"/>
        <v>307460.9747088537</v>
      </c>
      <c r="C59" s="3">
        <f t="shared" si="0"/>
        <v>2182.9640961798141</v>
      </c>
      <c r="D59" s="5">
        <f t="shared" si="1"/>
        <v>1857.5767221993244</v>
      </c>
      <c r="E59" s="3">
        <f t="shared" si="2"/>
        <v>325.38737398048966</v>
      </c>
      <c r="F59" s="10">
        <f t="shared" si="3"/>
        <v>307135.58733487321</v>
      </c>
      <c r="L59">
        <f>200</f>
        <v>200</v>
      </c>
    </row>
    <row r="60" spans="1:12" x14ac:dyDescent="0.2">
      <c r="A60" s="9">
        <v>46</v>
      </c>
      <c r="B60" s="5">
        <f t="shared" si="4"/>
        <v>307135.58733487321</v>
      </c>
      <c r="C60" s="3">
        <f t="shared" si="0"/>
        <v>2182.9640961798141</v>
      </c>
      <c r="D60" s="5">
        <f t="shared" si="1"/>
        <v>1855.6108401481922</v>
      </c>
      <c r="E60" s="3">
        <f t="shared" si="2"/>
        <v>327.35325603162187</v>
      </c>
      <c r="F60" s="10">
        <f t="shared" si="3"/>
        <v>306808.23407884157</v>
      </c>
      <c r="L60">
        <f>200</f>
        <v>200</v>
      </c>
    </row>
    <row r="61" spans="1:12" x14ac:dyDescent="0.2">
      <c r="A61" s="9">
        <v>47</v>
      </c>
      <c r="B61" s="5">
        <f t="shared" si="4"/>
        <v>306808.23407884157</v>
      </c>
      <c r="C61" s="3">
        <f t="shared" si="0"/>
        <v>2182.9640961798141</v>
      </c>
      <c r="D61" s="5">
        <f t="shared" si="1"/>
        <v>1853.6330808930009</v>
      </c>
      <c r="E61" s="3">
        <f t="shared" si="2"/>
        <v>329.33101528681323</v>
      </c>
      <c r="F61" s="10">
        <f t="shared" si="3"/>
        <v>306478.90306355478</v>
      </c>
      <c r="L61">
        <f>200</f>
        <v>200</v>
      </c>
    </row>
    <row r="62" spans="1:12" x14ac:dyDescent="0.2">
      <c r="A62" s="9">
        <v>48</v>
      </c>
      <c r="B62" s="5">
        <f t="shared" si="4"/>
        <v>306478.90306355478</v>
      </c>
      <c r="C62" s="3">
        <f t="shared" si="0"/>
        <v>2182.9640961798141</v>
      </c>
      <c r="D62" s="5">
        <f t="shared" si="1"/>
        <v>1851.6433726756434</v>
      </c>
      <c r="E62" s="3">
        <f t="shared" si="2"/>
        <v>331.3207235041707</v>
      </c>
      <c r="F62" s="10">
        <f t="shared" si="3"/>
        <v>306147.58234005061</v>
      </c>
      <c r="L62">
        <f>200</f>
        <v>200</v>
      </c>
    </row>
    <row r="63" spans="1:12" x14ac:dyDescent="0.2">
      <c r="A63" s="9">
        <v>49</v>
      </c>
      <c r="B63" s="5">
        <f t="shared" si="4"/>
        <v>306147.58234005061</v>
      </c>
      <c r="C63" s="3">
        <f t="shared" si="0"/>
        <v>2182.9640961798141</v>
      </c>
      <c r="D63" s="5">
        <f t="shared" si="1"/>
        <v>1849.6416433044724</v>
      </c>
      <c r="E63" s="3">
        <f t="shared" si="2"/>
        <v>333.3224528753417</v>
      </c>
      <c r="F63" s="10">
        <f t="shared" si="3"/>
        <v>305814.25988717529</v>
      </c>
      <c r="L63">
        <f>200</f>
        <v>200</v>
      </c>
    </row>
    <row r="64" spans="1:12" x14ac:dyDescent="0.2">
      <c r="A64" s="9">
        <v>50</v>
      </c>
      <c r="B64" s="5">
        <f t="shared" si="4"/>
        <v>305814.25988717529</v>
      </c>
      <c r="C64" s="3">
        <f t="shared" si="0"/>
        <v>2182.9640961798141</v>
      </c>
      <c r="D64" s="5">
        <f t="shared" si="1"/>
        <v>1847.6278201516841</v>
      </c>
      <c r="E64" s="3">
        <f t="shared" si="2"/>
        <v>335.33627602812999</v>
      </c>
      <c r="F64" s="10">
        <f t="shared" si="3"/>
        <v>305478.92361114715</v>
      </c>
      <c r="L64">
        <f>200</f>
        <v>200</v>
      </c>
    </row>
    <row r="65" spans="1:12" x14ac:dyDescent="0.2">
      <c r="A65" s="9">
        <v>51</v>
      </c>
      <c r="B65" s="5">
        <f t="shared" si="4"/>
        <v>305478.92361114715</v>
      </c>
      <c r="C65" s="3">
        <f t="shared" si="0"/>
        <v>2182.9640961798141</v>
      </c>
      <c r="D65" s="5">
        <f t="shared" si="1"/>
        <v>1845.6018301506808</v>
      </c>
      <c r="E65" s="3">
        <f t="shared" si="2"/>
        <v>337.36226602913325</v>
      </c>
      <c r="F65" s="10">
        <f t="shared" si="3"/>
        <v>305141.56134511804</v>
      </c>
      <c r="L65">
        <f>200</f>
        <v>200</v>
      </c>
    </row>
    <row r="66" spans="1:12" x14ac:dyDescent="0.2">
      <c r="A66" s="9">
        <v>52</v>
      </c>
      <c r="B66" s="5">
        <f t="shared" si="4"/>
        <v>305141.56134511804</v>
      </c>
      <c r="C66" s="3">
        <f t="shared" si="0"/>
        <v>2182.9640961798141</v>
      </c>
      <c r="D66" s="5">
        <f t="shared" si="1"/>
        <v>1843.5635997934214</v>
      </c>
      <c r="E66" s="3">
        <f t="shared" si="2"/>
        <v>339.40049638639266</v>
      </c>
      <c r="F66" s="10">
        <f t="shared" si="3"/>
        <v>304802.16084873164</v>
      </c>
      <c r="L66">
        <f>200</f>
        <v>200</v>
      </c>
    </row>
    <row r="67" spans="1:12" x14ac:dyDescent="0.2">
      <c r="A67" s="9">
        <v>53</v>
      </c>
      <c r="B67" s="5">
        <f t="shared" si="4"/>
        <v>304802.16084873164</v>
      </c>
      <c r="C67" s="3">
        <f t="shared" si="0"/>
        <v>2182.9640961798141</v>
      </c>
      <c r="D67" s="5">
        <f t="shared" si="1"/>
        <v>1841.5130551277534</v>
      </c>
      <c r="E67" s="3">
        <f t="shared" si="2"/>
        <v>341.45104105206065</v>
      </c>
      <c r="F67" s="10">
        <f t="shared" si="3"/>
        <v>304460.70980767958</v>
      </c>
      <c r="L67">
        <f>200</f>
        <v>200</v>
      </c>
    </row>
    <row r="68" spans="1:12" x14ac:dyDescent="0.2">
      <c r="A68" s="9">
        <v>54</v>
      </c>
      <c r="B68" s="5">
        <f t="shared" si="4"/>
        <v>304460.70980767958</v>
      </c>
      <c r="C68" s="3">
        <f t="shared" si="0"/>
        <v>2182.9640961798141</v>
      </c>
      <c r="D68" s="5">
        <f t="shared" si="1"/>
        <v>1839.4501217547306</v>
      </c>
      <c r="E68" s="3">
        <f t="shared" si="2"/>
        <v>343.51397442508346</v>
      </c>
      <c r="F68" s="10">
        <f t="shared" si="3"/>
        <v>304117.19583325449</v>
      </c>
      <c r="L68">
        <f>200</f>
        <v>200</v>
      </c>
    </row>
    <row r="69" spans="1:12" x14ac:dyDescent="0.2">
      <c r="A69" s="9">
        <v>55</v>
      </c>
      <c r="B69" s="5">
        <f t="shared" si="4"/>
        <v>304117.19583325449</v>
      </c>
      <c r="C69" s="3">
        <f t="shared" si="0"/>
        <v>2182.9640961798141</v>
      </c>
      <c r="D69" s="5">
        <f t="shared" si="1"/>
        <v>1837.3747248259124</v>
      </c>
      <c r="E69" s="3">
        <f t="shared" si="2"/>
        <v>345.5893713539017</v>
      </c>
      <c r="F69" s="10">
        <f t="shared" si="3"/>
        <v>303771.60646190058</v>
      </c>
      <c r="L69">
        <f>200</f>
        <v>200</v>
      </c>
    </row>
    <row r="70" spans="1:12" x14ac:dyDescent="0.2">
      <c r="A70" s="9">
        <v>56</v>
      </c>
      <c r="B70" s="5">
        <f t="shared" si="4"/>
        <v>303771.60646190058</v>
      </c>
      <c r="C70" s="3">
        <f t="shared" si="0"/>
        <v>2182.9640961798141</v>
      </c>
      <c r="D70" s="5">
        <f t="shared" si="1"/>
        <v>1835.2867890406494</v>
      </c>
      <c r="E70" s="3">
        <f t="shared" si="2"/>
        <v>347.67730713916467</v>
      </c>
      <c r="F70" s="10">
        <f t="shared" si="3"/>
        <v>303423.92915476143</v>
      </c>
      <c r="L70">
        <f>200</f>
        <v>200</v>
      </c>
    </row>
    <row r="71" spans="1:12" x14ac:dyDescent="0.2">
      <c r="A71" s="9">
        <v>57</v>
      </c>
      <c r="B71" s="5">
        <f t="shared" si="4"/>
        <v>303423.92915476143</v>
      </c>
      <c r="C71" s="3">
        <f t="shared" si="0"/>
        <v>2182.9640961798141</v>
      </c>
      <c r="D71" s="5">
        <f t="shared" si="1"/>
        <v>1833.1862386433502</v>
      </c>
      <c r="E71" s="3">
        <f t="shared" si="2"/>
        <v>349.7778575364639</v>
      </c>
      <c r="F71" s="10">
        <f t="shared" si="3"/>
        <v>303074.15129722498</v>
      </c>
      <c r="L71">
        <f>200</f>
        <v>200</v>
      </c>
    </row>
    <row r="72" spans="1:12" x14ac:dyDescent="0.2">
      <c r="A72" s="9">
        <v>58</v>
      </c>
      <c r="B72" s="5">
        <f t="shared" si="4"/>
        <v>303074.15129722498</v>
      </c>
      <c r="C72" s="3">
        <f t="shared" si="0"/>
        <v>2182.9640961798141</v>
      </c>
      <c r="D72" s="5">
        <f t="shared" si="1"/>
        <v>1831.0729974207341</v>
      </c>
      <c r="E72" s="3">
        <f t="shared" si="2"/>
        <v>351.89109875908002</v>
      </c>
      <c r="F72" s="10">
        <f t="shared" si="3"/>
        <v>302722.2601984659</v>
      </c>
      <c r="L72">
        <f>200</f>
        <v>200</v>
      </c>
    </row>
    <row r="73" spans="1:12" x14ac:dyDescent="0.2">
      <c r="A73" s="9">
        <v>59</v>
      </c>
      <c r="B73" s="5">
        <f t="shared" si="4"/>
        <v>302722.2601984659</v>
      </c>
      <c r="C73" s="3">
        <f t="shared" si="0"/>
        <v>2182.9640961798141</v>
      </c>
      <c r="D73" s="5">
        <f t="shared" si="1"/>
        <v>1828.9469886990646</v>
      </c>
      <c r="E73" s="3">
        <f t="shared" si="2"/>
        <v>354.01710748074947</v>
      </c>
      <c r="F73" s="10">
        <f t="shared" si="3"/>
        <v>302368.24309098517</v>
      </c>
      <c r="L73">
        <f>200</f>
        <v>200</v>
      </c>
    </row>
    <row r="74" spans="1:12" x14ac:dyDescent="0.2">
      <c r="A74" s="9">
        <v>60</v>
      </c>
      <c r="B74" s="5">
        <f t="shared" si="4"/>
        <v>302368.24309098517</v>
      </c>
      <c r="C74" s="3">
        <f t="shared" si="0"/>
        <v>2182.9640961798141</v>
      </c>
      <c r="D74" s="5">
        <f t="shared" si="1"/>
        <v>1826.8081353413688</v>
      </c>
      <c r="E74" s="3">
        <f t="shared" si="2"/>
        <v>356.15596083844525</v>
      </c>
      <c r="F74" s="10">
        <f t="shared" si="3"/>
        <v>302012.08713014674</v>
      </c>
      <c r="L74">
        <f>200</f>
        <v>200</v>
      </c>
    </row>
    <row r="75" spans="1:12" x14ac:dyDescent="0.2">
      <c r="A75" s="9">
        <v>61</v>
      </c>
      <c r="B75" s="5">
        <f t="shared" si="4"/>
        <v>302012.08713014674</v>
      </c>
      <c r="C75" s="3">
        <f t="shared" si="0"/>
        <v>2182.9640961798141</v>
      </c>
      <c r="D75" s="5">
        <f t="shared" si="1"/>
        <v>1824.6563597446366</v>
      </c>
      <c r="E75" s="3">
        <f t="shared" si="2"/>
        <v>358.3077364351775</v>
      </c>
      <c r="F75" s="10">
        <f t="shared" si="3"/>
        <v>301653.77939371159</v>
      </c>
      <c r="L75">
        <f>200</f>
        <v>200</v>
      </c>
    </row>
    <row r="76" spans="1:12" x14ac:dyDescent="0.2">
      <c r="A76" s="9">
        <v>62</v>
      </c>
      <c r="B76" s="5">
        <f t="shared" si="4"/>
        <v>301653.77939371159</v>
      </c>
      <c r="C76" s="3">
        <f t="shared" si="0"/>
        <v>2182.9640961798141</v>
      </c>
      <c r="D76" s="5">
        <f t="shared" si="1"/>
        <v>1822.4915838370073</v>
      </c>
      <c r="E76" s="3">
        <f t="shared" si="2"/>
        <v>360.47251234280679</v>
      </c>
      <c r="F76" s="10">
        <f t="shared" si="3"/>
        <v>301293.3068813688</v>
      </c>
      <c r="L76">
        <f>200</f>
        <v>200</v>
      </c>
    </row>
    <row r="77" spans="1:12" x14ac:dyDescent="0.2">
      <c r="A77" s="9">
        <v>63</v>
      </c>
      <c r="B77" s="5">
        <f t="shared" si="4"/>
        <v>301293.3068813688</v>
      </c>
      <c r="C77" s="3">
        <f t="shared" si="0"/>
        <v>2182.9640961798141</v>
      </c>
      <c r="D77" s="5">
        <f t="shared" si="1"/>
        <v>1820.3137290749364</v>
      </c>
      <c r="E77" s="3">
        <f t="shared" si="2"/>
        <v>362.65036710487766</v>
      </c>
      <c r="F77" s="10">
        <f t="shared" si="3"/>
        <v>300930.65651426394</v>
      </c>
      <c r="L77">
        <f>200</f>
        <v>200</v>
      </c>
    </row>
    <row r="78" spans="1:12" x14ac:dyDescent="0.2">
      <c r="A78" s="9">
        <v>64</v>
      </c>
      <c r="B78" s="5">
        <f t="shared" si="4"/>
        <v>300930.65651426394</v>
      </c>
      <c r="C78" s="3">
        <f t="shared" si="0"/>
        <v>2182.9640961798141</v>
      </c>
      <c r="D78" s="5">
        <f t="shared" si="1"/>
        <v>1818.1227164403444</v>
      </c>
      <c r="E78" s="3">
        <f t="shared" si="2"/>
        <v>364.84137973946963</v>
      </c>
      <c r="F78" s="10">
        <f t="shared" si="3"/>
        <v>300565.81513452448</v>
      </c>
      <c r="L78">
        <f>200</f>
        <v>200</v>
      </c>
    </row>
    <row r="79" spans="1:12" x14ac:dyDescent="0.2">
      <c r="A79" s="9">
        <v>65</v>
      </c>
      <c r="B79" s="5">
        <f t="shared" si="4"/>
        <v>300565.81513452448</v>
      </c>
      <c r="C79" s="3">
        <f t="shared" si="0"/>
        <v>2182.9640961798141</v>
      </c>
      <c r="D79" s="5">
        <f t="shared" si="1"/>
        <v>1815.9184664377519</v>
      </c>
      <c r="E79" s="3">
        <f t="shared" si="2"/>
        <v>367.04562974206215</v>
      </c>
      <c r="F79" s="10">
        <f t="shared" si="3"/>
        <v>300198.76950478239</v>
      </c>
      <c r="L79">
        <f>200</f>
        <v>200</v>
      </c>
    </row>
    <row r="80" spans="1:12" x14ac:dyDescent="0.2">
      <c r="A80" s="9">
        <v>66</v>
      </c>
      <c r="B80" s="5">
        <f t="shared" si="4"/>
        <v>300198.76950478239</v>
      </c>
      <c r="C80" s="3">
        <f t="shared" ref="C80:C143" si="5">$B$12</f>
        <v>2182.9640961798141</v>
      </c>
      <c r="D80" s="5">
        <f t="shared" ref="D80:D143" si="6">B80*$B$9/12</f>
        <v>1813.7008990913935</v>
      </c>
      <c r="E80" s="3">
        <f t="shared" ref="E80:E143" si="7">C80-D80</f>
        <v>369.26319708842061</v>
      </c>
      <c r="F80" s="10">
        <f t="shared" ref="F80:F143" si="8">B80-E80</f>
        <v>299829.50630769396</v>
      </c>
      <c r="L80">
        <f>200</f>
        <v>200</v>
      </c>
    </row>
    <row r="81" spans="1:12" x14ac:dyDescent="0.2">
      <c r="A81" s="9">
        <v>67</v>
      </c>
      <c r="B81" s="5">
        <f t="shared" ref="B81:B144" si="9">F80</f>
        <v>299829.50630769396</v>
      </c>
      <c r="C81" s="3">
        <f t="shared" si="5"/>
        <v>2182.9640961798141</v>
      </c>
      <c r="D81" s="5">
        <f t="shared" si="6"/>
        <v>1811.4699339423175</v>
      </c>
      <c r="E81" s="3">
        <f t="shared" si="7"/>
        <v>371.49416223749654</v>
      </c>
      <c r="F81" s="10">
        <f t="shared" si="8"/>
        <v>299458.01214545645</v>
      </c>
      <c r="L81">
        <f>200</f>
        <v>200</v>
      </c>
    </row>
    <row r="82" spans="1:12" x14ac:dyDescent="0.2">
      <c r="A82" s="9">
        <v>68</v>
      </c>
      <c r="B82" s="5">
        <f t="shared" si="9"/>
        <v>299458.01214545645</v>
      </c>
      <c r="C82" s="3">
        <f t="shared" si="5"/>
        <v>2182.9640961798141</v>
      </c>
      <c r="D82" s="5">
        <f t="shared" si="6"/>
        <v>1809.2254900454661</v>
      </c>
      <c r="E82" s="3">
        <f t="shared" si="7"/>
        <v>373.73860613434795</v>
      </c>
      <c r="F82" s="10">
        <f t="shared" si="8"/>
        <v>299084.27353932208</v>
      </c>
      <c r="L82">
        <f>200</f>
        <v>200</v>
      </c>
    </row>
    <row r="83" spans="1:12" x14ac:dyDescent="0.2">
      <c r="A83" s="9">
        <v>69</v>
      </c>
      <c r="B83" s="5">
        <f t="shared" si="9"/>
        <v>299084.27353932208</v>
      </c>
      <c r="C83" s="3">
        <f t="shared" si="5"/>
        <v>2182.9640961798141</v>
      </c>
      <c r="D83" s="5">
        <f t="shared" si="6"/>
        <v>1806.9674859667375</v>
      </c>
      <c r="E83" s="3">
        <f t="shared" si="7"/>
        <v>375.99661021307656</v>
      </c>
      <c r="F83" s="10">
        <f t="shared" si="8"/>
        <v>298708.27692910901</v>
      </c>
      <c r="L83">
        <f>200</f>
        <v>200</v>
      </c>
    </row>
    <row r="84" spans="1:12" x14ac:dyDescent="0.2">
      <c r="A84" s="9">
        <v>70</v>
      </c>
      <c r="B84" s="5">
        <f t="shared" si="9"/>
        <v>298708.27692910901</v>
      </c>
      <c r="C84" s="3">
        <f t="shared" si="5"/>
        <v>2182.9640961798141</v>
      </c>
      <c r="D84" s="5">
        <f t="shared" si="6"/>
        <v>1804.6958397800336</v>
      </c>
      <c r="E84" s="3">
        <f t="shared" si="7"/>
        <v>378.26825639978051</v>
      </c>
      <c r="F84" s="10">
        <f t="shared" si="8"/>
        <v>298330.00867270923</v>
      </c>
      <c r="L84">
        <f>200</f>
        <v>200</v>
      </c>
    </row>
    <row r="85" spans="1:12" x14ac:dyDescent="0.2">
      <c r="A85" s="9">
        <v>71</v>
      </c>
      <c r="B85" s="5">
        <f t="shared" si="9"/>
        <v>298330.00867270923</v>
      </c>
      <c r="C85" s="3">
        <f t="shared" si="5"/>
        <v>2182.9640961798141</v>
      </c>
      <c r="D85" s="5">
        <f t="shared" si="6"/>
        <v>1802.4104690642846</v>
      </c>
      <c r="E85" s="3">
        <f t="shared" si="7"/>
        <v>380.55362711552948</v>
      </c>
      <c r="F85" s="10">
        <f t="shared" si="8"/>
        <v>297949.45504559367</v>
      </c>
      <c r="L85">
        <f>200</f>
        <v>200</v>
      </c>
    </row>
    <row r="86" spans="1:12" x14ac:dyDescent="0.2">
      <c r="A86" s="9">
        <v>72</v>
      </c>
      <c r="B86" s="5">
        <f t="shared" si="9"/>
        <v>297949.45504559367</v>
      </c>
      <c r="C86" s="3">
        <f t="shared" si="5"/>
        <v>2182.9640961798141</v>
      </c>
      <c r="D86" s="5">
        <f t="shared" si="6"/>
        <v>1800.1112909004617</v>
      </c>
      <c r="E86" s="3">
        <f t="shared" si="7"/>
        <v>382.85280527935242</v>
      </c>
      <c r="F86" s="10">
        <f t="shared" si="8"/>
        <v>297566.6022403143</v>
      </c>
      <c r="L86">
        <f>200</f>
        <v>200</v>
      </c>
    </row>
    <row r="87" spans="1:12" x14ac:dyDescent="0.2">
      <c r="A87" s="9">
        <v>73</v>
      </c>
      <c r="B87" s="5">
        <f t="shared" si="9"/>
        <v>297566.6022403143</v>
      </c>
      <c r="C87" s="3">
        <f t="shared" si="5"/>
        <v>2182.9640961798141</v>
      </c>
      <c r="D87" s="5">
        <f t="shared" si="6"/>
        <v>1797.7982218685654</v>
      </c>
      <c r="E87" s="3">
        <f t="shared" si="7"/>
        <v>385.16587431124867</v>
      </c>
      <c r="F87" s="10">
        <f t="shared" si="8"/>
        <v>297181.43636600306</v>
      </c>
      <c r="L87">
        <f>200</f>
        <v>200</v>
      </c>
    </row>
    <row r="88" spans="1:12" x14ac:dyDescent="0.2">
      <c r="A88" s="9">
        <v>74</v>
      </c>
      <c r="B88" s="5">
        <f t="shared" si="9"/>
        <v>297181.43636600306</v>
      </c>
      <c r="C88" s="3">
        <f t="shared" si="5"/>
        <v>2182.9640961798141</v>
      </c>
      <c r="D88" s="5">
        <f t="shared" si="6"/>
        <v>1795.4711780446016</v>
      </c>
      <c r="E88" s="3">
        <f t="shared" si="7"/>
        <v>387.49291813521245</v>
      </c>
      <c r="F88" s="10">
        <f t="shared" si="8"/>
        <v>296793.94344786787</v>
      </c>
      <c r="L88">
        <f>200</f>
        <v>200</v>
      </c>
    </row>
    <row r="89" spans="1:12" x14ac:dyDescent="0.2">
      <c r="A89" s="9">
        <v>75</v>
      </c>
      <c r="B89" s="5">
        <f t="shared" si="9"/>
        <v>296793.94344786787</v>
      </c>
      <c r="C89" s="3">
        <f t="shared" si="5"/>
        <v>2182.9640961798141</v>
      </c>
      <c r="D89" s="5">
        <f t="shared" si="6"/>
        <v>1793.1300749975351</v>
      </c>
      <c r="E89" s="3">
        <f t="shared" si="7"/>
        <v>389.834021182279</v>
      </c>
      <c r="F89" s="10">
        <f t="shared" si="8"/>
        <v>296404.10942668561</v>
      </c>
      <c r="L89">
        <f>200</f>
        <v>200</v>
      </c>
    </row>
    <row r="90" spans="1:12" x14ac:dyDescent="0.2">
      <c r="A90" s="9">
        <v>76</v>
      </c>
      <c r="B90" s="5">
        <f t="shared" si="9"/>
        <v>296404.10942668561</v>
      </c>
      <c r="C90" s="3">
        <f t="shared" si="5"/>
        <v>2182.9640961798141</v>
      </c>
      <c r="D90" s="5">
        <f t="shared" si="6"/>
        <v>1790.7748277862254</v>
      </c>
      <c r="E90" s="3">
        <f t="shared" si="7"/>
        <v>392.18926839358869</v>
      </c>
      <c r="F90" s="10">
        <f t="shared" si="8"/>
        <v>296011.92015829199</v>
      </c>
      <c r="L90">
        <f>200</f>
        <v>200</v>
      </c>
    </row>
    <row r="91" spans="1:12" x14ac:dyDescent="0.2">
      <c r="A91" s="9">
        <v>77</v>
      </c>
      <c r="B91" s="5">
        <f t="shared" si="9"/>
        <v>296011.92015829199</v>
      </c>
      <c r="C91" s="3">
        <f t="shared" si="5"/>
        <v>2182.9640961798141</v>
      </c>
      <c r="D91" s="5">
        <f t="shared" si="6"/>
        <v>1788.4053509563473</v>
      </c>
      <c r="E91" s="3">
        <f t="shared" si="7"/>
        <v>394.55874522346676</v>
      </c>
      <c r="F91" s="10">
        <f t="shared" si="8"/>
        <v>295617.36141306855</v>
      </c>
      <c r="L91">
        <f>200</f>
        <v>200</v>
      </c>
    </row>
    <row r="92" spans="1:12" x14ac:dyDescent="0.2">
      <c r="A92" s="9">
        <v>78</v>
      </c>
      <c r="B92" s="5">
        <f t="shared" si="9"/>
        <v>295617.36141306855</v>
      </c>
      <c r="C92" s="3">
        <f t="shared" si="5"/>
        <v>2182.9640961798141</v>
      </c>
      <c r="D92" s="5">
        <f t="shared" si="6"/>
        <v>1786.0215585372889</v>
      </c>
      <c r="E92" s="3">
        <f t="shared" si="7"/>
        <v>396.94253764252517</v>
      </c>
      <c r="F92" s="10">
        <f t="shared" si="8"/>
        <v>295220.418875426</v>
      </c>
      <c r="L92">
        <f>200</f>
        <v>200</v>
      </c>
    </row>
    <row r="93" spans="1:12" x14ac:dyDescent="0.2">
      <c r="A93" s="9">
        <v>79</v>
      </c>
      <c r="B93" s="5">
        <f t="shared" si="9"/>
        <v>295220.418875426</v>
      </c>
      <c r="C93" s="3">
        <f t="shared" si="5"/>
        <v>2182.9640961798141</v>
      </c>
      <c r="D93" s="5">
        <f t="shared" si="6"/>
        <v>1783.6233640390319</v>
      </c>
      <c r="E93" s="3">
        <f t="shared" si="7"/>
        <v>399.34073214078217</v>
      </c>
      <c r="F93" s="10">
        <f t="shared" si="8"/>
        <v>294821.07814328524</v>
      </c>
      <c r="L93">
        <f>200</f>
        <v>200</v>
      </c>
    </row>
    <row r="94" spans="1:12" x14ac:dyDescent="0.2">
      <c r="A94" s="9">
        <v>80</v>
      </c>
      <c r="B94" s="5">
        <f t="shared" si="9"/>
        <v>294821.07814328524</v>
      </c>
      <c r="C94" s="3">
        <f t="shared" si="5"/>
        <v>2182.9640961798141</v>
      </c>
      <c r="D94" s="5">
        <f t="shared" si="6"/>
        <v>1781.2106804490149</v>
      </c>
      <c r="E94" s="3">
        <f t="shared" si="7"/>
        <v>401.75341573079913</v>
      </c>
      <c r="F94" s="10">
        <f t="shared" si="8"/>
        <v>294419.32472755446</v>
      </c>
      <c r="L94">
        <f>200</f>
        <v>200</v>
      </c>
    </row>
    <row r="95" spans="1:12" x14ac:dyDescent="0.2">
      <c r="A95" s="9">
        <v>81</v>
      </c>
      <c r="B95" s="5">
        <f t="shared" si="9"/>
        <v>294419.32472755446</v>
      </c>
      <c r="C95" s="3">
        <f t="shared" si="5"/>
        <v>2182.9640961798141</v>
      </c>
      <c r="D95" s="5">
        <f t="shared" si="6"/>
        <v>1778.7834202289748</v>
      </c>
      <c r="E95" s="3">
        <f t="shared" si="7"/>
        <v>404.18067595083926</v>
      </c>
      <c r="F95" s="10">
        <f t="shared" si="8"/>
        <v>294015.14405160362</v>
      </c>
      <c r="L95">
        <f>200</f>
        <v>200</v>
      </c>
    </row>
    <row r="96" spans="1:12" x14ac:dyDescent="0.2">
      <c r="A96" s="9">
        <v>82</v>
      </c>
      <c r="B96" s="5">
        <f t="shared" si="9"/>
        <v>294015.14405160362</v>
      </c>
      <c r="C96" s="3">
        <f t="shared" si="5"/>
        <v>2182.9640961798141</v>
      </c>
      <c r="D96" s="5">
        <f t="shared" si="6"/>
        <v>1776.3414953117717</v>
      </c>
      <c r="E96" s="3">
        <f t="shared" si="7"/>
        <v>406.62260086804235</v>
      </c>
      <c r="F96" s="10">
        <f t="shared" si="8"/>
        <v>293608.52145073557</v>
      </c>
      <c r="L96">
        <f>200</f>
        <v>200</v>
      </c>
    </row>
    <row r="97" spans="1:12" x14ac:dyDescent="0.2">
      <c r="A97" s="9">
        <v>83</v>
      </c>
      <c r="B97" s="5">
        <f t="shared" si="9"/>
        <v>293608.52145073557</v>
      </c>
      <c r="C97" s="3">
        <f t="shared" si="5"/>
        <v>2182.9640961798141</v>
      </c>
      <c r="D97" s="5">
        <f t="shared" si="6"/>
        <v>1773.8848170981939</v>
      </c>
      <c r="E97" s="3">
        <f t="shared" si="7"/>
        <v>409.07927908162014</v>
      </c>
      <c r="F97" s="10">
        <f t="shared" si="8"/>
        <v>293199.44217165397</v>
      </c>
      <c r="L97">
        <f>200</f>
        <v>200</v>
      </c>
    </row>
    <row r="98" spans="1:12" x14ac:dyDescent="0.2">
      <c r="A98" s="9">
        <v>84</v>
      </c>
      <c r="B98" s="5">
        <f t="shared" si="9"/>
        <v>293199.44217165397</v>
      </c>
      <c r="C98" s="3">
        <f t="shared" si="5"/>
        <v>2182.9640961798141</v>
      </c>
      <c r="D98" s="5">
        <f t="shared" si="6"/>
        <v>1771.4132964537428</v>
      </c>
      <c r="E98" s="3">
        <f t="shared" si="7"/>
        <v>411.55079972607132</v>
      </c>
      <c r="F98" s="10">
        <f t="shared" si="8"/>
        <v>292787.89137192792</v>
      </c>
      <c r="L98">
        <f>200</f>
        <v>200</v>
      </c>
    </row>
    <row r="99" spans="1:12" x14ac:dyDescent="0.2">
      <c r="A99" s="9">
        <v>85</v>
      </c>
      <c r="B99" s="5">
        <f t="shared" si="9"/>
        <v>292787.89137192792</v>
      </c>
      <c r="C99" s="3">
        <f t="shared" si="5"/>
        <v>2182.9640961798141</v>
      </c>
      <c r="D99" s="5">
        <f t="shared" si="6"/>
        <v>1768.9268437053977</v>
      </c>
      <c r="E99" s="3">
        <f t="shared" si="7"/>
        <v>414.03725247441639</v>
      </c>
      <c r="F99" s="10">
        <f t="shared" si="8"/>
        <v>292373.85411945352</v>
      </c>
      <c r="L99">
        <f>200</f>
        <v>200</v>
      </c>
    </row>
    <row r="100" spans="1:12" x14ac:dyDescent="0.2">
      <c r="A100" s="9">
        <v>86</v>
      </c>
      <c r="B100" s="5">
        <f t="shared" si="9"/>
        <v>292373.85411945352</v>
      </c>
      <c r="C100" s="3">
        <f t="shared" si="5"/>
        <v>2182.9640961798141</v>
      </c>
      <c r="D100" s="5">
        <f t="shared" si="6"/>
        <v>1766.4253686383647</v>
      </c>
      <c r="E100" s="3">
        <f t="shared" si="7"/>
        <v>416.53872754144936</v>
      </c>
      <c r="F100" s="10">
        <f t="shared" si="8"/>
        <v>291957.31539191207</v>
      </c>
      <c r="L100">
        <f>200</f>
        <v>200</v>
      </c>
    </row>
    <row r="101" spans="1:12" x14ac:dyDescent="0.2">
      <c r="A101" s="9">
        <v>87</v>
      </c>
      <c r="B101" s="5">
        <f t="shared" si="9"/>
        <v>291957.31539191207</v>
      </c>
      <c r="C101" s="3">
        <f t="shared" si="5"/>
        <v>2182.9640961798141</v>
      </c>
      <c r="D101" s="5">
        <f t="shared" si="6"/>
        <v>1763.908780492802</v>
      </c>
      <c r="E101" s="3">
        <f t="shared" si="7"/>
        <v>419.05531568701213</v>
      </c>
      <c r="F101" s="10">
        <f t="shared" si="8"/>
        <v>291538.26007622504</v>
      </c>
      <c r="L101">
        <f>200</f>
        <v>200</v>
      </c>
    </row>
    <row r="102" spans="1:12" x14ac:dyDescent="0.2">
      <c r="A102" s="9">
        <v>88</v>
      </c>
      <c r="B102" s="5">
        <f t="shared" si="9"/>
        <v>291538.26007622504</v>
      </c>
      <c r="C102" s="3">
        <f t="shared" si="5"/>
        <v>2182.9640961798141</v>
      </c>
      <c r="D102" s="5">
        <f t="shared" si="6"/>
        <v>1761.3769879605261</v>
      </c>
      <c r="E102" s="3">
        <f t="shared" si="7"/>
        <v>421.58710821928798</v>
      </c>
      <c r="F102" s="10">
        <f t="shared" si="8"/>
        <v>291116.67296800576</v>
      </c>
      <c r="L102">
        <f>200</f>
        <v>200</v>
      </c>
    </row>
    <row r="103" spans="1:12" x14ac:dyDescent="0.2">
      <c r="A103" s="9">
        <v>89</v>
      </c>
      <c r="B103" s="5">
        <f t="shared" si="9"/>
        <v>291116.67296800576</v>
      </c>
      <c r="C103" s="3">
        <f t="shared" si="5"/>
        <v>2182.9640961798141</v>
      </c>
      <c r="D103" s="5">
        <f t="shared" si="6"/>
        <v>1758.8298991817012</v>
      </c>
      <c r="E103" s="3">
        <f t="shared" si="7"/>
        <v>424.13419699811288</v>
      </c>
      <c r="F103" s="10">
        <f t="shared" si="8"/>
        <v>290692.53877100768</v>
      </c>
      <c r="L103">
        <f>200</f>
        <v>200</v>
      </c>
    </row>
    <row r="104" spans="1:12" x14ac:dyDescent="0.2">
      <c r="A104" s="9">
        <v>90</v>
      </c>
      <c r="B104" s="5">
        <f t="shared" si="9"/>
        <v>290692.53877100768</v>
      </c>
      <c r="C104" s="3">
        <f t="shared" si="5"/>
        <v>2182.9640961798141</v>
      </c>
      <c r="D104" s="5">
        <f t="shared" si="6"/>
        <v>1756.2674217415044</v>
      </c>
      <c r="E104" s="3">
        <f t="shared" si="7"/>
        <v>426.69667443830963</v>
      </c>
      <c r="F104" s="10">
        <f t="shared" si="8"/>
        <v>290265.84209656937</v>
      </c>
      <c r="L104">
        <f>200</f>
        <v>200</v>
      </c>
    </row>
    <row r="105" spans="1:12" x14ac:dyDescent="0.2">
      <c r="A105" s="9">
        <v>91</v>
      </c>
      <c r="B105" s="5">
        <f t="shared" si="9"/>
        <v>290265.84209656937</v>
      </c>
      <c r="C105" s="3">
        <f t="shared" si="5"/>
        <v>2182.9640961798141</v>
      </c>
      <c r="D105" s="5">
        <f t="shared" si="6"/>
        <v>1753.6894626667734</v>
      </c>
      <c r="E105" s="3">
        <f t="shared" si="7"/>
        <v>429.27463351304073</v>
      </c>
      <c r="F105" s="10">
        <f t="shared" si="8"/>
        <v>289836.5674630563</v>
      </c>
      <c r="L105">
        <f>200</f>
        <v>200</v>
      </c>
    </row>
    <row r="106" spans="1:12" x14ac:dyDescent="0.2">
      <c r="A106" s="9">
        <v>92</v>
      </c>
      <c r="B106" s="5">
        <f t="shared" si="9"/>
        <v>289836.5674630563</v>
      </c>
      <c r="C106" s="3">
        <f t="shared" si="5"/>
        <v>2182.9640961798141</v>
      </c>
      <c r="D106" s="5">
        <f t="shared" si="6"/>
        <v>1751.0959284226317</v>
      </c>
      <c r="E106" s="3">
        <f t="shared" si="7"/>
        <v>431.86816775718239</v>
      </c>
      <c r="F106" s="10">
        <f t="shared" si="8"/>
        <v>289404.69929529913</v>
      </c>
      <c r="L106">
        <f>200</f>
        <v>200</v>
      </c>
    </row>
    <row r="107" spans="1:12" x14ac:dyDescent="0.2">
      <c r="A107" s="9">
        <v>93</v>
      </c>
      <c r="B107" s="5">
        <f t="shared" si="9"/>
        <v>289404.69929529913</v>
      </c>
      <c r="C107" s="3">
        <f t="shared" si="5"/>
        <v>2182.9640961798141</v>
      </c>
      <c r="D107" s="5">
        <f t="shared" si="6"/>
        <v>1748.4867249090987</v>
      </c>
      <c r="E107" s="3">
        <f t="shared" si="7"/>
        <v>434.47737127071537</v>
      </c>
      <c r="F107" s="10">
        <f t="shared" si="8"/>
        <v>288970.22192402842</v>
      </c>
      <c r="L107">
        <f>200</f>
        <v>200</v>
      </c>
    </row>
    <row r="108" spans="1:12" x14ac:dyDescent="0.2">
      <c r="A108" s="9">
        <v>94</v>
      </c>
      <c r="B108" s="5">
        <f t="shared" si="9"/>
        <v>288970.22192402842</v>
      </c>
      <c r="C108" s="3">
        <f t="shared" si="5"/>
        <v>2182.9640961798141</v>
      </c>
      <c r="D108" s="5">
        <f t="shared" si="6"/>
        <v>1745.8617574576717</v>
      </c>
      <c r="E108" s="3">
        <f t="shared" si="7"/>
        <v>437.10233872214235</v>
      </c>
      <c r="F108" s="10">
        <f t="shared" si="8"/>
        <v>288533.11958530627</v>
      </c>
      <c r="L108">
        <f>200</f>
        <v>200</v>
      </c>
    </row>
    <row r="109" spans="1:12" x14ac:dyDescent="0.2">
      <c r="A109" s="9">
        <v>95</v>
      </c>
      <c r="B109" s="5">
        <f t="shared" si="9"/>
        <v>288533.11958530627</v>
      </c>
      <c r="C109" s="3">
        <f t="shared" si="5"/>
        <v>2182.9640961798141</v>
      </c>
      <c r="D109" s="5">
        <f t="shared" si="6"/>
        <v>1743.2209308278918</v>
      </c>
      <c r="E109" s="3">
        <f t="shared" si="7"/>
        <v>439.74316535192224</v>
      </c>
      <c r="F109" s="10">
        <f t="shared" si="8"/>
        <v>288093.37641995435</v>
      </c>
      <c r="L109">
        <f>200</f>
        <v>200</v>
      </c>
    </row>
    <row r="110" spans="1:12" x14ac:dyDescent="0.2">
      <c r="A110" s="9">
        <v>96</v>
      </c>
      <c r="B110" s="5">
        <f t="shared" si="9"/>
        <v>288093.37641995435</v>
      </c>
      <c r="C110" s="3">
        <f t="shared" si="5"/>
        <v>2182.9640961798141</v>
      </c>
      <c r="D110" s="5">
        <f t="shared" si="6"/>
        <v>1740.5641492038906</v>
      </c>
      <c r="E110" s="3">
        <f t="shared" si="7"/>
        <v>442.39994697592351</v>
      </c>
      <c r="F110" s="10">
        <f t="shared" si="8"/>
        <v>287650.97647297842</v>
      </c>
      <c r="L110">
        <f>200</f>
        <v>200</v>
      </c>
    </row>
    <row r="111" spans="1:12" x14ac:dyDescent="0.2">
      <c r="A111" s="9">
        <v>97</v>
      </c>
      <c r="B111" s="5">
        <f t="shared" si="9"/>
        <v>287650.97647297842</v>
      </c>
      <c r="C111" s="3">
        <f t="shared" si="5"/>
        <v>2182.9640961798141</v>
      </c>
      <c r="D111" s="5">
        <f t="shared" si="6"/>
        <v>1737.8913161909113</v>
      </c>
      <c r="E111" s="3">
        <f t="shared" si="7"/>
        <v>445.07277998890277</v>
      </c>
      <c r="F111" s="10">
        <f t="shared" si="8"/>
        <v>287205.90369298949</v>
      </c>
      <c r="L111">
        <f>200</f>
        <v>200</v>
      </c>
    </row>
    <row r="112" spans="1:12" x14ac:dyDescent="0.2">
      <c r="A112" s="9">
        <v>98</v>
      </c>
      <c r="B112" s="5">
        <f t="shared" si="9"/>
        <v>287205.90369298949</v>
      </c>
      <c r="C112" s="3">
        <f t="shared" si="5"/>
        <v>2182.9640961798141</v>
      </c>
      <c r="D112" s="5">
        <f t="shared" si="6"/>
        <v>1735.2023348118116</v>
      </c>
      <c r="E112" s="3">
        <f t="shared" si="7"/>
        <v>447.76176136800245</v>
      </c>
      <c r="F112" s="10">
        <f t="shared" si="8"/>
        <v>286758.14193162147</v>
      </c>
      <c r="L112">
        <f>200</f>
        <v>200</v>
      </c>
    </row>
    <row r="113" spans="1:12" x14ac:dyDescent="0.2">
      <c r="A113" s="9">
        <v>99</v>
      </c>
      <c r="B113" s="5">
        <f t="shared" si="9"/>
        <v>286758.14193162147</v>
      </c>
      <c r="C113" s="3">
        <f t="shared" si="5"/>
        <v>2182.9640961798141</v>
      </c>
      <c r="D113" s="5">
        <f t="shared" si="6"/>
        <v>1732.4971075035464</v>
      </c>
      <c r="E113" s="3">
        <f t="shared" si="7"/>
        <v>450.46698867626765</v>
      </c>
      <c r="F113" s="10">
        <f t="shared" si="8"/>
        <v>286307.67494294519</v>
      </c>
      <c r="L113">
        <f>200</f>
        <v>200</v>
      </c>
    </row>
    <row r="114" spans="1:12" x14ac:dyDescent="0.2">
      <c r="A114" s="9">
        <v>100</v>
      </c>
      <c r="B114" s="5">
        <f t="shared" si="9"/>
        <v>286307.67494294519</v>
      </c>
      <c r="C114" s="3">
        <f t="shared" si="5"/>
        <v>2182.9640961798141</v>
      </c>
      <c r="D114" s="5">
        <f t="shared" si="6"/>
        <v>1729.7755361136269</v>
      </c>
      <c r="E114" s="3">
        <f t="shared" si="7"/>
        <v>453.18856006618716</v>
      </c>
      <c r="F114" s="10">
        <f t="shared" si="8"/>
        <v>285854.48638287903</v>
      </c>
      <c r="L114">
        <f>200</f>
        <v>200</v>
      </c>
    </row>
    <row r="115" spans="1:12" x14ac:dyDescent="0.2">
      <c r="A115" s="9">
        <v>101</v>
      </c>
      <c r="B115" s="5">
        <f t="shared" si="9"/>
        <v>285854.48638287903</v>
      </c>
      <c r="C115" s="3">
        <f t="shared" si="5"/>
        <v>2182.9640961798141</v>
      </c>
      <c r="D115" s="5">
        <f t="shared" si="6"/>
        <v>1727.0375218965607</v>
      </c>
      <c r="E115" s="3">
        <f t="shared" si="7"/>
        <v>455.92657428325333</v>
      </c>
      <c r="F115" s="10">
        <f t="shared" si="8"/>
        <v>285398.55980859575</v>
      </c>
      <c r="L115">
        <f>200</f>
        <v>200</v>
      </c>
    </row>
    <row r="116" spans="1:12" x14ac:dyDescent="0.2">
      <c r="A116" s="9">
        <v>102</v>
      </c>
      <c r="B116" s="5">
        <f t="shared" si="9"/>
        <v>285398.55980859575</v>
      </c>
      <c r="C116" s="3">
        <f t="shared" si="5"/>
        <v>2182.9640961798141</v>
      </c>
      <c r="D116" s="5">
        <f t="shared" si="6"/>
        <v>1724.282965510266</v>
      </c>
      <c r="E116" s="3">
        <f t="shared" si="7"/>
        <v>458.68113066954811</v>
      </c>
      <c r="F116" s="10">
        <f t="shared" si="8"/>
        <v>284939.8786779262</v>
      </c>
      <c r="L116">
        <f>200</f>
        <v>200</v>
      </c>
    </row>
    <row r="117" spans="1:12" x14ac:dyDescent="0.2">
      <c r="A117" s="9">
        <v>103</v>
      </c>
      <c r="B117" s="5">
        <f t="shared" si="9"/>
        <v>284939.8786779262</v>
      </c>
      <c r="C117" s="3">
        <f t="shared" si="5"/>
        <v>2182.9640961798141</v>
      </c>
      <c r="D117" s="5">
        <f t="shared" si="6"/>
        <v>1721.5117670124707</v>
      </c>
      <c r="E117" s="3">
        <f t="shared" si="7"/>
        <v>461.45232916734335</v>
      </c>
      <c r="F117" s="10">
        <f t="shared" si="8"/>
        <v>284478.42634875886</v>
      </c>
      <c r="L117">
        <f>200</f>
        <v>200</v>
      </c>
    </row>
    <row r="118" spans="1:12" x14ac:dyDescent="0.2">
      <c r="A118" s="9">
        <v>104</v>
      </c>
      <c r="B118" s="5">
        <f t="shared" si="9"/>
        <v>284478.42634875886</v>
      </c>
      <c r="C118" s="3">
        <f t="shared" si="5"/>
        <v>2182.9640961798141</v>
      </c>
      <c r="D118" s="5">
        <f t="shared" si="6"/>
        <v>1718.7238258570849</v>
      </c>
      <c r="E118" s="3">
        <f t="shared" si="7"/>
        <v>464.2402703227292</v>
      </c>
      <c r="F118" s="10">
        <f t="shared" si="8"/>
        <v>284014.18607843615</v>
      </c>
      <c r="L118">
        <f>200</f>
        <v>200</v>
      </c>
    </row>
    <row r="119" spans="1:12" x14ac:dyDescent="0.2">
      <c r="A119" s="9">
        <v>105</v>
      </c>
      <c r="B119" s="5">
        <f t="shared" si="9"/>
        <v>284014.18607843615</v>
      </c>
      <c r="C119" s="3">
        <f t="shared" si="5"/>
        <v>2182.9640961798141</v>
      </c>
      <c r="D119" s="5">
        <f t="shared" si="6"/>
        <v>1715.9190408905515</v>
      </c>
      <c r="E119" s="3">
        <f t="shared" si="7"/>
        <v>467.04505528926256</v>
      </c>
      <c r="F119" s="10">
        <f t="shared" si="8"/>
        <v>283547.14102314686</v>
      </c>
      <c r="L119">
        <f>200</f>
        <v>200</v>
      </c>
    </row>
    <row r="120" spans="1:12" x14ac:dyDescent="0.2">
      <c r="A120" s="9">
        <v>106</v>
      </c>
      <c r="B120" s="5">
        <f t="shared" si="9"/>
        <v>283547.14102314686</v>
      </c>
      <c r="C120" s="3">
        <f t="shared" si="5"/>
        <v>2182.9640961798141</v>
      </c>
      <c r="D120" s="5">
        <f t="shared" si="6"/>
        <v>1713.097310348179</v>
      </c>
      <c r="E120" s="3">
        <f t="shared" si="7"/>
        <v>469.86678583163507</v>
      </c>
      <c r="F120" s="10">
        <f t="shared" si="8"/>
        <v>283077.27423731523</v>
      </c>
      <c r="L120">
        <f>200</f>
        <v>200</v>
      </c>
    </row>
    <row r="121" spans="1:12" x14ac:dyDescent="0.2">
      <c r="A121" s="9">
        <v>107</v>
      </c>
      <c r="B121" s="5">
        <f t="shared" si="9"/>
        <v>283077.27423731523</v>
      </c>
      <c r="C121" s="3">
        <f t="shared" si="5"/>
        <v>2182.9640961798141</v>
      </c>
      <c r="D121" s="5">
        <f t="shared" si="6"/>
        <v>1710.2585318504462</v>
      </c>
      <c r="E121" s="3">
        <f t="shared" si="7"/>
        <v>472.70556432936792</v>
      </c>
      <c r="F121" s="10">
        <f t="shared" si="8"/>
        <v>282604.56867298589</v>
      </c>
      <c r="L121">
        <f>200</f>
        <v>200</v>
      </c>
    </row>
    <row r="122" spans="1:12" x14ac:dyDescent="0.2">
      <c r="A122" s="9">
        <v>108</v>
      </c>
      <c r="B122" s="5">
        <f t="shared" si="9"/>
        <v>282604.56867298589</v>
      </c>
      <c r="C122" s="3">
        <f t="shared" si="5"/>
        <v>2182.9640961798141</v>
      </c>
      <c r="D122" s="5">
        <f t="shared" si="6"/>
        <v>1707.4026023992894</v>
      </c>
      <c r="E122" s="3">
        <f t="shared" si="7"/>
        <v>475.56149378052464</v>
      </c>
      <c r="F122" s="10">
        <f t="shared" si="8"/>
        <v>282129.00717920536</v>
      </c>
      <c r="L122">
        <f>200</f>
        <v>200</v>
      </c>
    </row>
    <row r="123" spans="1:12" x14ac:dyDescent="0.2">
      <c r="A123" s="9">
        <v>109</v>
      </c>
      <c r="B123" s="5">
        <f t="shared" si="9"/>
        <v>282129.00717920536</v>
      </c>
      <c r="C123" s="3">
        <f t="shared" si="5"/>
        <v>2182.9640961798141</v>
      </c>
      <c r="D123" s="5">
        <f t="shared" si="6"/>
        <v>1704.5294183743656</v>
      </c>
      <c r="E123" s="3">
        <f t="shared" si="7"/>
        <v>478.43467780544847</v>
      </c>
      <c r="F123" s="10">
        <f t="shared" si="8"/>
        <v>281650.5725013999</v>
      </c>
      <c r="L123">
        <f>200</f>
        <v>200</v>
      </c>
    </row>
    <row r="124" spans="1:12" x14ac:dyDescent="0.2">
      <c r="A124" s="9">
        <v>110</v>
      </c>
      <c r="B124" s="5">
        <f t="shared" si="9"/>
        <v>281650.5725013999</v>
      </c>
      <c r="C124" s="3">
        <f t="shared" si="5"/>
        <v>2182.9640961798141</v>
      </c>
      <c r="D124" s="5">
        <f t="shared" si="6"/>
        <v>1701.638875529291</v>
      </c>
      <c r="E124" s="3">
        <f t="shared" si="7"/>
        <v>481.32522065052308</v>
      </c>
      <c r="F124" s="10">
        <f t="shared" si="8"/>
        <v>281169.24728074938</v>
      </c>
      <c r="L124">
        <f>200</f>
        <v>200</v>
      </c>
    </row>
    <row r="125" spans="1:12" x14ac:dyDescent="0.2">
      <c r="A125" s="9">
        <v>111</v>
      </c>
      <c r="B125" s="5">
        <f t="shared" si="9"/>
        <v>281169.24728074938</v>
      </c>
      <c r="C125" s="3">
        <f t="shared" si="5"/>
        <v>2182.9640961798141</v>
      </c>
      <c r="D125" s="5">
        <f t="shared" si="6"/>
        <v>1698.7308689878607</v>
      </c>
      <c r="E125" s="3">
        <f t="shared" si="7"/>
        <v>484.23322719195335</v>
      </c>
      <c r="F125" s="10">
        <f t="shared" si="8"/>
        <v>280685.01405355742</v>
      </c>
      <c r="L125">
        <f>200</f>
        <v>200</v>
      </c>
    </row>
    <row r="126" spans="1:12" x14ac:dyDescent="0.2">
      <c r="A126" s="9">
        <v>112</v>
      </c>
      <c r="B126" s="5">
        <f t="shared" si="9"/>
        <v>280685.01405355742</v>
      </c>
      <c r="C126" s="3">
        <f t="shared" si="5"/>
        <v>2182.9640961798141</v>
      </c>
      <c r="D126" s="5">
        <f t="shared" si="6"/>
        <v>1695.8052932402425</v>
      </c>
      <c r="E126" s="3">
        <f t="shared" si="7"/>
        <v>487.15880293957161</v>
      </c>
      <c r="F126" s="10">
        <f t="shared" si="8"/>
        <v>280197.85525061784</v>
      </c>
      <c r="L126">
        <f>200</f>
        <v>200</v>
      </c>
    </row>
    <row r="127" spans="1:12" x14ac:dyDescent="0.2">
      <c r="A127" s="9">
        <v>113</v>
      </c>
      <c r="B127" s="5">
        <f t="shared" si="9"/>
        <v>280197.85525061784</v>
      </c>
      <c r="C127" s="3">
        <f t="shared" si="5"/>
        <v>2182.9640961798141</v>
      </c>
      <c r="D127" s="5">
        <f t="shared" si="6"/>
        <v>1692.8620421391495</v>
      </c>
      <c r="E127" s="3">
        <f t="shared" si="7"/>
        <v>490.1020540406646</v>
      </c>
      <c r="F127" s="10">
        <f t="shared" si="8"/>
        <v>279707.75319657719</v>
      </c>
      <c r="L127">
        <f>200</f>
        <v>200</v>
      </c>
    </row>
    <row r="128" spans="1:12" x14ac:dyDescent="0.2">
      <c r="A128" s="9">
        <v>114</v>
      </c>
      <c r="B128" s="5">
        <f t="shared" si="9"/>
        <v>279707.75319657719</v>
      </c>
      <c r="C128" s="3">
        <f t="shared" si="5"/>
        <v>2182.9640961798141</v>
      </c>
      <c r="D128" s="5">
        <f t="shared" si="6"/>
        <v>1689.9010088959869</v>
      </c>
      <c r="E128" s="3">
        <f t="shared" si="7"/>
        <v>493.06308728382714</v>
      </c>
      <c r="F128" s="10">
        <f t="shared" si="8"/>
        <v>279214.69010929338</v>
      </c>
      <c r="L128">
        <f>200</f>
        <v>200</v>
      </c>
    </row>
    <row r="129" spans="1:12" x14ac:dyDescent="0.2">
      <c r="A129" s="9">
        <v>115</v>
      </c>
      <c r="B129" s="5">
        <f t="shared" si="9"/>
        <v>279214.69010929338</v>
      </c>
      <c r="C129" s="3">
        <f t="shared" si="5"/>
        <v>2182.9640961798141</v>
      </c>
      <c r="D129" s="5">
        <f t="shared" si="6"/>
        <v>1686.9220860769808</v>
      </c>
      <c r="E129" s="3">
        <f t="shared" si="7"/>
        <v>496.04201010283327</v>
      </c>
      <c r="F129" s="10">
        <f t="shared" si="8"/>
        <v>278718.64809919056</v>
      </c>
      <c r="L129">
        <f>200</f>
        <v>200</v>
      </c>
    </row>
    <row r="130" spans="1:12" x14ac:dyDescent="0.2">
      <c r="A130" s="9">
        <v>116</v>
      </c>
      <c r="B130" s="5">
        <f t="shared" si="9"/>
        <v>278718.64809919056</v>
      </c>
      <c r="C130" s="3">
        <f t="shared" si="5"/>
        <v>2182.9640961798141</v>
      </c>
      <c r="D130" s="5">
        <f t="shared" si="6"/>
        <v>1683.9251655992759</v>
      </c>
      <c r="E130" s="3">
        <f t="shared" si="7"/>
        <v>499.03893058053814</v>
      </c>
      <c r="F130" s="10">
        <f t="shared" si="8"/>
        <v>278219.60916861001</v>
      </c>
      <c r="L130">
        <f>200</f>
        <v>200</v>
      </c>
    </row>
    <row r="131" spans="1:12" x14ac:dyDescent="0.2">
      <c r="A131" s="9">
        <v>117</v>
      </c>
      <c r="B131" s="5">
        <f t="shared" si="9"/>
        <v>278219.60916861001</v>
      </c>
      <c r="C131" s="3">
        <f t="shared" si="5"/>
        <v>2182.9640961798141</v>
      </c>
      <c r="D131" s="5">
        <f t="shared" si="6"/>
        <v>1680.9101387270186</v>
      </c>
      <c r="E131" s="3">
        <f t="shared" si="7"/>
        <v>502.05395745279543</v>
      </c>
      <c r="F131" s="10">
        <f t="shared" si="8"/>
        <v>277717.55521115719</v>
      </c>
      <c r="L131">
        <f>200</f>
        <v>200</v>
      </c>
    </row>
    <row r="132" spans="1:12" x14ac:dyDescent="0.2">
      <c r="A132" s="9">
        <v>118</v>
      </c>
      <c r="B132" s="5">
        <f t="shared" si="9"/>
        <v>277717.55521115719</v>
      </c>
      <c r="C132" s="3">
        <f t="shared" si="5"/>
        <v>2182.9640961798141</v>
      </c>
      <c r="D132" s="5">
        <f t="shared" si="6"/>
        <v>1677.8768960674079</v>
      </c>
      <c r="E132" s="3">
        <f t="shared" si="7"/>
        <v>505.08720011240621</v>
      </c>
      <c r="F132" s="10">
        <f t="shared" si="8"/>
        <v>277212.46801104478</v>
      </c>
      <c r="L132">
        <f>200</f>
        <v>200</v>
      </c>
    </row>
    <row r="133" spans="1:12" x14ac:dyDescent="0.2">
      <c r="A133" s="9">
        <v>119</v>
      </c>
      <c r="B133" s="5">
        <f t="shared" si="9"/>
        <v>277212.46801104478</v>
      </c>
      <c r="C133" s="3">
        <f t="shared" si="5"/>
        <v>2182.9640961798141</v>
      </c>
      <c r="D133" s="5">
        <f t="shared" si="6"/>
        <v>1674.8253275667287</v>
      </c>
      <c r="E133" s="3">
        <f t="shared" si="7"/>
        <v>508.1387686130854</v>
      </c>
      <c r="F133" s="10">
        <f t="shared" si="8"/>
        <v>276704.32924243168</v>
      </c>
      <c r="L133">
        <f>200</f>
        <v>200</v>
      </c>
    </row>
    <row r="134" spans="1:12" x14ac:dyDescent="0.2">
      <c r="A134" s="9">
        <v>120</v>
      </c>
      <c r="B134" s="5">
        <f t="shared" si="9"/>
        <v>276704.32924243168</v>
      </c>
      <c r="C134" s="3">
        <f t="shared" si="5"/>
        <v>2182.9640961798141</v>
      </c>
      <c r="D134" s="5">
        <f t="shared" si="6"/>
        <v>1671.7553225063577</v>
      </c>
      <c r="E134" s="3">
        <f t="shared" si="7"/>
        <v>511.20877367345634</v>
      </c>
      <c r="F134" s="10">
        <f t="shared" si="8"/>
        <v>276193.12046875822</v>
      </c>
      <c r="L134">
        <f>200</f>
        <v>200</v>
      </c>
    </row>
    <row r="135" spans="1:12" x14ac:dyDescent="0.2">
      <c r="A135" s="9">
        <v>121</v>
      </c>
      <c r="B135" s="5">
        <f t="shared" si="9"/>
        <v>276193.12046875822</v>
      </c>
      <c r="C135" s="3">
        <f t="shared" si="5"/>
        <v>2182.9640961798141</v>
      </c>
      <c r="D135" s="5">
        <f t="shared" si="6"/>
        <v>1668.6667694987475</v>
      </c>
      <c r="E135" s="3">
        <f t="shared" si="7"/>
        <v>514.29732668106658</v>
      </c>
      <c r="F135" s="10">
        <f t="shared" si="8"/>
        <v>275678.82314207713</v>
      </c>
      <c r="L135">
        <f>200</f>
        <v>200</v>
      </c>
    </row>
    <row r="136" spans="1:12" x14ac:dyDescent="0.2">
      <c r="A136" s="9">
        <v>122</v>
      </c>
      <c r="B136" s="5">
        <f t="shared" si="9"/>
        <v>275678.82314207713</v>
      </c>
      <c r="C136" s="3">
        <f t="shared" si="5"/>
        <v>2182.9640961798141</v>
      </c>
      <c r="D136" s="5">
        <f t="shared" si="6"/>
        <v>1665.5595564833827</v>
      </c>
      <c r="E136" s="3">
        <f t="shared" si="7"/>
        <v>517.40453969643136</v>
      </c>
      <c r="F136" s="10">
        <f t="shared" si="8"/>
        <v>275161.41860238073</v>
      </c>
      <c r="L136">
        <f>200</f>
        <v>200</v>
      </c>
    </row>
    <row r="137" spans="1:12" x14ac:dyDescent="0.2">
      <c r="A137" s="9">
        <v>123</v>
      </c>
      <c r="B137" s="5">
        <f t="shared" si="9"/>
        <v>275161.41860238073</v>
      </c>
      <c r="C137" s="3">
        <f t="shared" si="5"/>
        <v>2182.9640961798141</v>
      </c>
      <c r="D137" s="5">
        <f t="shared" si="6"/>
        <v>1662.4335707227167</v>
      </c>
      <c r="E137" s="3">
        <f t="shared" si="7"/>
        <v>520.53052545709738</v>
      </c>
      <c r="F137" s="10">
        <f t="shared" si="8"/>
        <v>274640.88807692361</v>
      </c>
      <c r="L137">
        <f>200</f>
        <v>200</v>
      </c>
    </row>
    <row r="138" spans="1:12" x14ac:dyDescent="0.2">
      <c r="A138" s="9">
        <v>124</v>
      </c>
      <c r="B138" s="5">
        <f t="shared" si="9"/>
        <v>274640.88807692361</v>
      </c>
      <c r="C138" s="3">
        <f t="shared" si="5"/>
        <v>2182.9640961798141</v>
      </c>
      <c r="D138" s="5">
        <f t="shared" si="6"/>
        <v>1659.2886987980801</v>
      </c>
      <c r="E138" s="3">
        <f t="shared" si="7"/>
        <v>523.675397381734</v>
      </c>
      <c r="F138" s="10">
        <f t="shared" si="8"/>
        <v>274117.2126795419</v>
      </c>
      <c r="L138">
        <f>200</f>
        <v>200</v>
      </c>
    </row>
    <row r="139" spans="1:12" x14ac:dyDescent="0.2">
      <c r="A139" s="9">
        <v>125</v>
      </c>
      <c r="B139" s="5">
        <f t="shared" si="9"/>
        <v>274117.2126795419</v>
      </c>
      <c r="C139" s="3">
        <f t="shared" si="5"/>
        <v>2182.9640961798141</v>
      </c>
      <c r="D139" s="5">
        <f t="shared" si="6"/>
        <v>1656.1248266055654</v>
      </c>
      <c r="E139" s="3">
        <f t="shared" si="7"/>
        <v>526.83926957424865</v>
      </c>
      <c r="F139" s="10">
        <f t="shared" si="8"/>
        <v>273590.37340996764</v>
      </c>
      <c r="L139">
        <f>200</f>
        <v>200</v>
      </c>
    </row>
    <row r="140" spans="1:12" x14ac:dyDescent="0.2">
      <c r="A140" s="9">
        <v>126</v>
      </c>
      <c r="B140" s="5">
        <f t="shared" si="9"/>
        <v>273590.37340996764</v>
      </c>
      <c r="C140" s="3">
        <f t="shared" si="5"/>
        <v>2182.9640961798141</v>
      </c>
      <c r="D140" s="5">
        <f t="shared" si="6"/>
        <v>1652.9418393518879</v>
      </c>
      <c r="E140" s="3">
        <f t="shared" si="7"/>
        <v>530.02225682792618</v>
      </c>
      <c r="F140" s="10">
        <f t="shared" si="8"/>
        <v>273060.35115313972</v>
      </c>
      <c r="L140">
        <f>200</f>
        <v>200</v>
      </c>
    </row>
    <row r="141" spans="1:12" x14ac:dyDescent="0.2">
      <c r="A141" s="9">
        <v>127</v>
      </c>
      <c r="B141" s="5">
        <f t="shared" si="9"/>
        <v>273060.35115313972</v>
      </c>
      <c r="C141" s="3">
        <f t="shared" si="5"/>
        <v>2182.9640961798141</v>
      </c>
      <c r="D141" s="5">
        <f t="shared" si="6"/>
        <v>1649.7396215502192</v>
      </c>
      <c r="E141" s="3">
        <f t="shared" si="7"/>
        <v>533.22447462959485</v>
      </c>
      <c r="F141" s="10">
        <f t="shared" si="8"/>
        <v>272527.1266785101</v>
      </c>
      <c r="L141">
        <f>200</f>
        <v>200</v>
      </c>
    </row>
    <row r="142" spans="1:12" x14ac:dyDescent="0.2">
      <c r="A142" s="9">
        <v>128</v>
      </c>
      <c r="B142" s="5">
        <f t="shared" si="9"/>
        <v>272527.1266785101</v>
      </c>
      <c r="C142" s="3">
        <f t="shared" si="5"/>
        <v>2182.9640961798141</v>
      </c>
      <c r="D142" s="5">
        <f t="shared" si="6"/>
        <v>1646.5180570159985</v>
      </c>
      <c r="E142" s="3">
        <f t="shared" si="7"/>
        <v>536.44603916381561</v>
      </c>
      <c r="F142" s="10">
        <f t="shared" si="8"/>
        <v>271990.6806393463</v>
      </c>
      <c r="L142">
        <f>200</f>
        <v>200</v>
      </c>
    </row>
    <row r="143" spans="1:12" x14ac:dyDescent="0.2">
      <c r="A143" s="9">
        <v>129</v>
      </c>
      <c r="B143" s="5">
        <f t="shared" si="9"/>
        <v>271990.6806393463</v>
      </c>
      <c r="C143" s="3">
        <f t="shared" si="5"/>
        <v>2182.9640961798141</v>
      </c>
      <c r="D143" s="5">
        <f t="shared" si="6"/>
        <v>1643.2770288627171</v>
      </c>
      <c r="E143" s="3">
        <f t="shared" si="7"/>
        <v>539.68706731709699</v>
      </c>
      <c r="F143" s="10">
        <f t="shared" si="8"/>
        <v>271450.99357202923</v>
      </c>
      <c r="L143">
        <f>200</f>
        <v>200</v>
      </c>
    </row>
    <row r="144" spans="1:12" x14ac:dyDescent="0.2">
      <c r="A144" s="9">
        <v>130</v>
      </c>
      <c r="B144" s="5">
        <f t="shared" si="9"/>
        <v>271450.99357202923</v>
      </c>
      <c r="C144" s="3">
        <f t="shared" ref="C144:C207" si="10">$B$12</f>
        <v>2182.9640961798141</v>
      </c>
      <c r="D144" s="5">
        <f t="shared" ref="D144:D207" si="11">B144*$B$9/12</f>
        <v>1640.0164194976767</v>
      </c>
      <c r="E144" s="3">
        <f t="shared" ref="E144:E207" si="12">C144-D144</f>
        <v>542.9476766821374</v>
      </c>
      <c r="F144" s="10">
        <f t="shared" ref="F144:F207" si="13">B144-E144</f>
        <v>270908.04589534708</v>
      </c>
      <c r="L144">
        <f>200</f>
        <v>200</v>
      </c>
    </row>
    <row r="145" spans="1:12" x14ac:dyDescent="0.2">
      <c r="A145" s="9">
        <v>131</v>
      </c>
      <c r="B145" s="5">
        <f t="shared" ref="B145:B208" si="14">F144</f>
        <v>270908.04589534708</v>
      </c>
      <c r="C145" s="3">
        <f t="shared" si="10"/>
        <v>2182.9640961798141</v>
      </c>
      <c r="D145" s="5">
        <f t="shared" si="11"/>
        <v>1636.736110617722</v>
      </c>
      <c r="E145" s="3">
        <f t="shared" si="12"/>
        <v>546.22798556209204</v>
      </c>
      <c r="F145" s="10">
        <f t="shared" si="13"/>
        <v>270361.81790978496</v>
      </c>
      <c r="L145">
        <f>200</f>
        <v>200</v>
      </c>
    </row>
    <row r="146" spans="1:12" x14ac:dyDescent="0.2">
      <c r="A146" s="9">
        <v>132</v>
      </c>
      <c r="B146" s="5">
        <f t="shared" si="14"/>
        <v>270361.81790978496</v>
      </c>
      <c r="C146" s="3">
        <f t="shared" si="10"/>
        <v>2182.9640961798141</v>
      </c>
      <c r="D146" s="5">
        <f t="shared" si="11"/>
        <v>1633.4359832049506</v>
      </c>
      <c r="E146" s="3">
        <f t="shared" si="12"/>
        <v>549.52811297486346</v>
      </c>
      <c r="F146" s="10">
        <f t="shared" si="13"/>
        <v>269812.28979681007</v>
      </c>
      <c r="L146">
        <f>200</f>
        <v>200</v>
      </c>
    </row>
    <row r="147" spans="1:12" x14ac:dyDescent="0.2">
      <c r="A147" s="9">
        <v>133</v>
      </c>
      <c r="B147" s="5">
        <f t="shared" si="14"/>
        <v>269812.28979681007</v>
      </c>
      <c r="C147" s="3">
        <f t="shared" si="10"/>
        <v>2182.9640961798141</v>
      </c>
      <c r="D147" s="5">
        <f t="shared" si="11"/>
        <v>1630.1159175223941</v>
      </c>
      <c r="E147" s="3">
        <f t="shared" si="12"/>
        <v>552.84817865742002</v>
      </c>
      <c r="F147" s="10">
        <f t="shared" si="13"/>
        <v>269259.44161815266</v>
      </c>
      <c r="L147">
        <f>200</f>
        <v>200</v>
      </c>
    </row>
    <row r="148" spans="1:12" x14ac:dyDescent="0.2">
      <c r="A148" s="9">
        <v>134</v>
      </c>
      <c r="B148" s="5">
        <f t="shared" si="14"/>
        <v>269259.44161815266</v>
      </c>
      <c r="C148" s="3">
        <f t="shared" si="10"/>
        <v>2182.9640961798141</v>
      </c>
      <c r="D148" s="5">
        <f t="shared" si="11"/>
        <v>1626.7757931096721</v>
      </c>
      <c r="E148" s="3">
        <f t="shared" si="12"/>
        <v>556.18830307014196</v>
      </c>
      <c r="F148" s="10">
        <f t="shared" si="13"/>
        <v>268703.25331508252</v>
      </c>
      <c r="L148">
        <f>200</f>
        <v>200</v>
      </c>
    </row>
    <row r="149" spans="1:12" x14ac:dyDescent="0.2">
      <c r="A149" s="9">
        <v>135</v>
      </c>
      <c r="B149" s="5">
        <f t="shared" si="14"/>
        <v>268703.25331508252</v>
      </c>
      <c r="C149" s="3">
        <f t="shared" si="10"/>
        <v>2182.9640961798141</v>
      </c>
      <c r="D149" s="5">
        <f t="shared" si="11"/>
        <v>1623.4154887786235</v>
      </c>
      <c r="E149" s="3">
        <f t="shared" si="12"/>
        <v>559.54860740119057</v>
      </c>
      <c r="F149" s="10">
        <f t="shared" si="13"/>
        <v>268143.70470768132</v>
      </c>
      <c r="L149">
        <f>200</f>
        <v>200</v>
      </c>
    </row>
    <row r="150" spans="1:12" x14ac:dyDescent="0.2">
      <c r="A150" s="9">
        <v>136</v>
      </c>
      <c r="B150" s="5">
        <f t="shared" si="14"/>
        <v>268143.70470768132</v>
      </c>
      <c r="C150" s="3">
        <f t="shared" si="10"/>
        <v>2182.9640961798141</v>
      </c>
      <c r="D150" s="5">
        <f t="shared" si="11"/>
        <v>1620.0348826089078</v>
      </c>
      <c r="E150" s="3">
        <f t="shared" si="12"/>
        <v>562.92921357090631</v>
      </c>
      <c r="F150" s="10">
        <f t="shared" si="13"/>
        <v>267580.77549411042</v>
      </c>
      <c r="L150">
        <f>200</f>
        <v>200</v>
      </c>
    </row>
    <row r="151" spans="1:12" x14ac:dyDescent="0.2">
      <c r="A151" s="9">
        <v>137</v>
      </c>
      <c r="B151" s="5">
        <f t="shared" si="14"/>
        <v>267580.77549411042</v>
      </c>
      <c r="C151" s="3">
        <f t="shared" si="10"/>
        <v>2182.9640961798141</v>
      </c>
      <c r="D151" s="5">
        <f t="shared" si="11"/>
        <v>1616.6338519435837</v>
      </c>
      <c r="E151" s="3">
        <f t="shared" si="12"/>
        <v>566.33024423623033</v>
      </c>
      <c r="F151" s="10">
        <f t="shared" si="13"/>
        <v>267014.4452498742</v>
      </c>
      <c r="L151">
        <f>200</f>
        <v>200</v>
      </c>
    </row>
    <row r="152" spans="1:12" x14ac:dyDescent="0.2">
      <c r="A152" s="9">
        <v>138</v>
      </c>
      <c r="B152" s="5">
        <f t="shared" si="14"/>
        <v>267014.4452498742</v>
      </c>
      <c r="C152" s="3">
        <f t="shared" si="10"/>
        <v>2182.9640961798141</v>
      </c>
      <c r="D152" s="5">
        <f t="shared" si="11"/>
        <v>1613.2122733846566</v>
      </c>
      <c r="E152" s="3">
        <f t="shared" si="12"/>
        <v>569.75182279515752</v>
      </c>
      <c r="F152" s="10">
        <f t="shared" si="13"/>
        <v>266444.69342707907</v>
      </c>
      <c r="L152">
        <f>200</f>
        <v>200</v>
      </c>
    </row>
    <row r="153" spans="1:12" x14ac:dyDescent="0.2">
      <c r="A153" s="9">
        <v>139</v>
      </c>
      <c r="B153" s="5">
        <f t="shared" si="14"/>
        <v>266444.69342707907</v>
      </c>
      <c r="C153" s="3">
        <f t="shared" si="10"/>
        <v>2182.9640961798141</v>
      </c>
      <c r="D153" s="5">
        <f t="shared" si="11"/>
        <v>1609.7700227886025</v>
      </c>
      <c r="E153" s="3">
        <f t="shared" si="12"/>
        <v>573.19407339121153</v>
      </c>
      <c r="F153" s="10">
        <f t="shared" si="13"/>
        <v>265871.49935368786</v>
      </c>
      <c r="L153">
        <f>200</f>
        <v>200</v>
      </c>
    </row>
    <row r="154" spans="1:12" x14ac:dyDescent="0.2">
      <c r="A154" s="9">
        <v>140</v>
      </c>
      <c r="B154" s="5">
        <f t="shared" si="14"/>
        <v>265871.49935368786</v>
      </c>
      <c r="C154" s="3">
        <f t="shared" si="10"/>
        <v>2182.9640961798141</v>
      </c>
      <c r="D154" s="5">
        <f t="shared" si="11"/>
        <v>1606.306975261864</v>
      </c>
      <c r="E154" s="3">
        <f t="shared" si="12"/>
        <v>576.65712091795012</v>
      </c>
      <c r="F154" s="10">
        <f t="shared" si="13"/>
        <v>265294.84223276994</v>
      </c>
      <c r="L154">
        <f>200</f>
        <v>200</v>
      </c>
    </row>
    <row r="155" spans="1:12" x14ac:dyDescent="0.2">
      <c r="A155" s="9">
        <v>141</v>
      </c>
      <c r="B155" s="5">
        <f t="shared" si="14"/>
        <v>265294.84223276994</v>
      </c>
      <c r="C155" s="3">
        <f t="shared" si="10"/>
        <v>2182.9640961798141</v>
      </c>
      <c r="D155" s="5">
        <f t="shared" si="11"/>
        <v>1602.8230051563185</v>
      </c>
      <c r="E155" s="3">
        <f t="shared" si="12"/>
        <v>580.14109102349562</v>
      </c>
      <c r="F155" s="10">
        <f t="shared" si="13"/>
        <v>264714.70114174642</v>
      </c>
      <c r="L155">
        <f>200</f>
        <v>200</v>
      </c>
    </row>
    <row r="156" spans="1:12" x14ac:dyDescent="0.2">
      <c r="A156" s="9">
        <v>142</v>
      </c>
      <c r="B156" s="5">
        <f t="shared" si="14"/>
        <v>264714.70114174642</v>
      </c>
      <c r="C156" s="3">
        <f t="shared" si="10"/>
        <v>2182.9640961798141</v>
      </c>
      <c r="D156" s="5">
        <f t="shared" si="11"/>
        <v>1599.3179860647178</v>
      </c>
      <c r="E156" s="3">
        <f t="shared" si="12"/>
        <v>583.64611011509623</v>
      </c>
      <c r="F156" s="10">
        <f t="shared" si="13"/>
        <v>264131.05503163132</v>
      </c>
      <c r="L156">
        <f>200</f>
        <v>200</v>
      </c>
    </row>
    <row r="157" spans="1:12" x14ac:dyDescent="0.2">
      <c r="A157" s="9">
        <v>143</v>
      </c>
      <c r="B157" s="5">
        <f t="shared" si="14"/>
        <v>264131.05503163132</v>
      </c>
      <c r="C157" s="3">
        <f t="shared" si="10"/>
        <v>2182.9640961798141</v>
      </c>
      <c r="D157" s="5">
        <f t="shared" si="11"/>
        <v>1595.791790816106</v>
      </c>
      <c r="E157" s="3">
        <f t="shared" si="12"/>
        <v>587.17230536370812</v>
      </c>
      <c r="F157" s="10">
        <f t="shared" si="13"/>
        <v>263543.88272626762</v>
      </c>
      <c r="L157">
        <f>200</f>
        <v>200</v>
      </c>
    </row>
    <row r="158" spans="1:12" x14ac:dyDescent="0.2">
      <c r="A158" s="9">
        <v>144</v>
      </c>
      <c r="B158" s="5">
        <f t="shared" si="14"/>
        <v>263543.88272626762</v>
      </c>
      <c r="C158" s="3">
        <f t="shared" si="10"/>
        <v>2182.9640961798141</v>
      </c>
      <c r="D158" s="5">
        <f t="shared" si="11"/>
        <v>1592.2442914712001</v>
      </c>
      <c r="E158" s="3">
        <f t="shared" si="12"/>
        <v>590.71980470861399</v>
      </c>
      <c r="F158" s="10">
        <f t="shared" si="13"/>
        <v>262953.16292155901</v>
      </c>
      <c r="L158">
        <f>200</f>
        <v>200</v>
      </c>
    </row>
    <row r="159" spans="1:12" x14ac:dyDescent="0.2">
      <c r="A159" s="9">
        <v>145</v>
      </c>
      <c r="B159" s="5">
        <f t="shared" si="14"/>
        <v>262953.16292155901</v>
      </c>
      <c r="C159" s="3">
        <f t="shared" si="10"/>
        <v>2182.9640961798141</v>
      </c>
      <c r="D159" s="5">
        <f t="shared" si="11"/>
        <v>1588.6753593177521</v>
      </c>
      <c r="E159" s="3">
        <f t="shared" si="12"/>
        <v>594.28873686206202</v>
      </c>
      <c r="F159" s="10">
        <f t="shared" si="13"/>
        <v>262358.87418469694</v>
      </c>
      <c r="L159">
        <f>200</f>
        <v>200</v>
      </c>
    </row>
    <row r="160" spans="1:12" x14ac:dyDescent="0.2">
      <c r="A160" s="9">
        <v>146</v>
      </c>
      <c r="B160" s="5">
        <f t="shared" si="14"/>
        <v>262358.87418469694</v>
      </c>
      <c r="C160" s="3">
        <f t="shared" si="10"/>
        <v>2182.9640961798141</v>
      </c>
      <c r="D160" s="5">
        <f t="shared" si="11"/>
        <v>1585.0848648658773</v>
      </c>
      <c r="E160" s="3">
        <f t="shared" si="12"/>
        <v>597.87923131393677</v>
      </c>
      <c r="F160" s="10">
        <f t="shared" si="13"/>
        <v>261760.99495338299</v>
      </c>
      <c r="L160">
        <f>200</f>
        <v>200</v>
      </c>
    </row>
    <row r="161" spans="1:12" x14ac:dyDescent="0.2">
      <c r="A161" s="9">
        <v>147</v>
      </c>
      <c r="B161" s="5">
        <f t="shared" si="14"/>
        <v>261760.99495338299</v>
      </c>
      <c r="C161" s="3">
        <f t="shared" si="10"/>
        <v>2182.9640961798141</v>
      </c>
      <c r="D161" s="5">
        <f t="shared" si="11"/>
        <v>1581.4726778433553</v>
      </c>
      <c r="E161" s="3">
        <f t="shared" si="12"/>
        <v>601.49141833645876</v>
      </c>
      <c r="F161" s="10">
        <f t="shared" si="13"/>
        <v>261159.50353504653</v>
      </c>
      <c r="L161">
        <f>200</f>
        <v>200</v>
      </c>
    </row>
    <row r="162" spans="1:12" x14ac:dyDescent="0.2">
      <c r="A162" s="9">
        <v>148</v>
      </c>
      <c r="B162" s="5">
        <f t="shared" si="14"/>
        <v>261159.50353504653</v>
      </c>
      <c r="C162" s="3">
        <f t="shared" si="10"/>
        <v>2182.9640961798141</v>
      </c>
      <c r="D162" s="5">
        <f t="shared" si="11"/>
        <v>1577.8386671909059</v>
      </c>
      <c r="E162" s="3">
        <f t="shared" si="12"/>
        <v>605.1254289889082</v>
      </c>
      <c r="F162" s="10">
        <f t="shared" si="13"/>
        <v>260554.37810605761</v>
      </c>
      <c r="L162">
        <f>200</f>
        <v>200</v>
      </c>
    </row>
    <row r="163" spans="1:12" x14ac:dyDescent="0.2">
      <c r="A163" s="9">
        <v>149</v>
      </c>
      <c r="B163" s="5">
        <f t="shared" si="14"/>
        <v>260554.37810605761</v>
      </c>
      <c r="C163" s="3">
        <f t="shared" si="10"/>
        <v>2182.9640961798141</v>
      </c>
      <c r="D163" s="5">
        <f t="shared" si="11"/>
        <v>1574.1827010574314</v>
      </c>
      <c r="E163" s="3">
        <f t="shared" si="12"/>
        <v>608.78139512238272</v>
      </c>
      <c r="F163" s="10">
        <f t="shared" si="13"/>
        <v>259945.59671093524</v>
      </c>
      <c r="L163">
        <f>200</f>
        <v>200</v>
      </c>
    </row>
    <row r="164" spans="1:12" x14ac:dyDescent="0.2">
      <c r="A164" s="9">
        <v>150</v>
      </c>
      <c r="B164" s="5">
        <f t="shared" si="14"/>
        <v>259945.59671093524</v>
      </c>
      <c r="C164" s="3">
        <f t="shared" si="10"/>
        <v>2182.9640961798141</v>
      </c>
      <c r="D164" s="5">
        <f t="shared" si="11"/>
        <v>1570.5046467952336</v>
      </c>
      <c r="E164" s="3">
        <f t="shared" si="12"/>
        <v>612.45944938458047</v>
      </c>
      <c r="F164" s="10">
        <f t="shared" si="13"/>
        <v>259333.13726155064</v>
      </c>
      <c r="L164">
        <f>200</f>
        <v>200</v>
      </c>
    </row>
    <row r="165" spans="1:12" x14ac:dyDescent="0.2">
      <c r="A165" s="9">
        <v>151</v>
      </c>
      <c r="B165" s="5">
        <f t="shared" si="14"/>
        <v>259333.13726155064</v>
      </c>
      <c r="C165" s="3">
        <f t="shared" si="10"/>
        <v>2182.9640961798141</v>
      </c>
      <c r="D165" s="5">
        <f t="shared" si="11"/>
        <v>1566.8043709552019</v>
      </c>
      <c r="E165" s="3">
        <f t="shared" si="12"/>
        <v>616.1597252246122</v>
      </c>
      <c r="F165" s="10">
        <f t="shared" si="13"/>
        <v>258716.97753632604</v>
      </c>
      <c r="L165">
        <f>200</f>
        <v>200</v>
      </c>
    </row>
    <row r="166" spans="1:12" x14ac:dyDescent="0.2">
      <c r="A166" s="9">
        <v>152</v>
      </c>
      <c r="B166" s="5">
        <f t="shared" si="14"/>
        <v>258716.97753632604</v>
      </c>
      <c r="C166" s="3">
        <f t="shared" si="10"/>
        <v>2182.9640961798141</v>
      </c>
      <c r="D166" s="5">
        <f t="shared" si="11"/>
        <v>1563.0817392819697</v>
      </c>
      <c r="E166" s="3">
        <f t="shared" si="12"/>
        <v>619.88235689784437</v>
      </c>
      <c r="F166" s="10">
        <f t="shared" si="13"/>
        <v>258097.0951794282</v>
      </c>
      <c r="L166">
        <f>200</f>
        <v>200</v>
      </c>
    </row>
    <row r="167" spans="1:12" x14ac:dyDescent="0.2">
      <c r="A167" s="9">
        <v>153</v>
      </c>
      <c r="B167" s="5">
        <f t="shared" si="14"/>
        <v>258097.0951794282</v>
      </c>
      <c r="C167" s="3">
        <f t="shared" si="10"/>
        <v>2182.9640961798141</v>
      </c>
      <c r="D167" s="5">
        <f t="shared" si="11"/>
        <v>1559.3366167090453</v>
      </c>
      <c r="E167" s="3">
        <f t="shared" si="12"/>
        <v>623.62747947076878</v>
      </c>
      <c r="F167" s="10">
        <f t="shared" si="13"/>
        <v>257473.46769995743</v>
      </c>
      <c r="L167">
        <f>200</f>
        <v>200</v>
      </c>
    </row>
    <row r="168" spans="1:12" x14ac:dyDescent="0.2">
      <c r="A168" s="9">
        <v>154</v>
      </c>
      <c r="B168" s="5">
        <f t="shared" si="14"/>
        <v>257473.46769995743</v>
      </c>
      <c r="C168" s="3">
        <f t="shared" si="10"/>
        <v>2182.9640961798141</v>
      </c>
      <c r="D168" s="5">
        <f t="shared" si="11"/>
        <v>1555.5688673539096</v>
      </c>
      <c r="E168" s="3">
        <f t="shared" si="12"/>
        <v>627.3952288259045</v>
      </c>
      <c r="F168" s="10">
        <f t="shared" si="13"/>
        <v>256846.07247113151</v>
      </c>
      <c r="L168">
        <f>200</f>
        <v>200</v>
      </c>
    </row>
    <row r="169" spans="1:12" x14ac:dyDescent="0.2">
      <c r="A169" s="9">
        <v>155</v>
      </c>
      <c r="B169" s="5">
        <f t="shared" si="14"/>
        <v>256846.07247113151</v>
      </c>
      <c r="C169" s="3">
        <f t="shared" si="10"/>
        <v>2182.9640961798141</v>
      </c>
      <c r="D169" s="5">
        <f t="shared" si="11"/>
        <v>1551.778354513086</v>
      </c>
      <c r="E169" s="3">
        <f t="shared" si="12"/>
        <v>631.18574166672806</v>
      </c>
      <c r="F169" s="10">
        <f t="shared" si="13"/>
        <v>256214.88672946478</v>
      </c>
      <c r="L169">
        <f>200</f>
        <v>200</v>
      </c>
    </row>
    <row r="170" spans="1:12" x14ac:dyDescent="0.2">
      <c r="A170" s="9">
        <v>156</v>
      </c>
      <c r="B170" s="5">
        <f t="shared" si="14"/>
        <v>256214.88672946478</v>
      </c>
      <c r="C170" s="3">
        <f t="shared" si="10"/>
        <v>2182.9640961798141</v>
      </c>
      <c r="D170" s="5">
        <f t="shared" si="11"/>
        <v>1547.9649406571828</v>
      </c>
      <c r="E170" s="3">
        <f t="shared" si="12"/>
        <v>634.99915552263133</v>
      </c>
      <c r="F170" s="10">
        <f t="shared" si="13"/>
        <v>255579.88757394213</v>
      </c>
      <c r="L170">
        <f>200</f>
        <v>200</v>
      </c>
    </row>
    <row r="171" spans="1:12" x14ac:dyDescent="0.2">
      <c r="A171" s="9">
        <v>157</v>
      </c>
      <c r="B171" s="5">
        <f t="shared" si="14"/>
        <v>255579.88757394213</v>
      </c>
      <c r="C171" s="3">
        <f t="shared" si="10"/>
        <v>2182.9640961798141</v>
      </c>
      <c r="D171" s="5">
        <f t="shared" si="11"/>
        <v>1544.1284874259002</v>
      </c>
      <c r="E171" s="3">
        <f t="shared" si="12"/>
        <v>638.8356087539139</v>
      </c>
      <c r="F171" s="10">
        <f t="shared" si="13"/>
        <v>254941.05196518824</v>
      </c>
      <c r="L171">
        <f>200</f>
        <v>200</v>
      </c>
    </row>
    <row r="172" spans="1:12" x14ac:dyDescent="0.2">
      <c r="A172" s="9">
        <v>158</v>
      </c>
      <c r="B172" s="5">
        <f t="shared" si="14"/>
        <v>254941.05196518824</v>
      </c>
      <c r="C172" s="3">
        <f t="shared" si="10"/>
        <v>2182.9640961798141</v>
      </c>
      <c r="D172" s="5">
        <f t="shared" si="11"/>
        <v>1540.2688556230121</v>
      </c>
      <c r="E172" s="3">
        <f t="shared" si="12"/>
        <v>642.69524055680199</v>
      </c>
      <c r="F172" s="10">
        <f t="shared" si="13"/>
        <v>254298.35672463142</v>
      </c>
      <c r="L172">
        <f>200</f>
        <v>200</v>
      </c>
    </row>
    <row r="173" spans="1:12" x14ac:dyDescent="0.2">
      <c r="A173" s="9">
        <v>159</v>
      </c>
      <c r="B173" s="5">
        <f t="shared" si="14"/>
        <v>254298.35672463142</v>
      </c>
      <c r="C173" s="3">
        <f t="shared" si="10"/>
        <v>2182.9640961798141</v>
      </c>
      <c r="D173" s="5">
        <f t="shared" si="11"/>
        <v>1536.3859052113148</v>
      </c>
      <c r="E173" s="3">
        <f t="shared" si="12"/>
        <v>646.57819096849926</v>
      </c>
      <c r="F173" s="10">
        <f t="shared" si="13"/>
        <v>253651.77853366293</v>
      </c>
      <c r="L173">
        <f>200</f>
        <v>200</v>
      </c>
    </row>
    <row r="174" spans="1:12" x14ac:dyDescent="0.2">
      <c r="A174" s="9">
        <v>160</v>
      </c>
      <c r="B174" s="5">
        <f t="shared" si="14"/>
        <v>253651.77853366293</v>
      </c>
      <c r="C174" s="3">
        <f t="shared" si="10"/>
        <v>2182.9640961798141</v>
      </c>
      <c r="D174" s="5">
        <f t="shared" si="11"/>
        <v>1532.4794953075468</v>
      </c>
      <c r="E174" s="3">
        <f t="shared" si="12"/>
        <v>650.48460087226727</v>
      </c>
      <c r="F174" s="10">
        <f t="shared" si="13"/>
        <v>253001.29393279066</v>
      </c>
      <c r="L174">
        <f>200</f>
        <v>200</v>
      </c>
    </row>
    <row r="175" spans="1:12" x14ac:dyDescent="0.2">
      <c r="A175" s="9">
        <v>161</v>
      </c>
      <c r="B175" s="5">
        <f t="shared" si="14"/>
        <v>253001.29393279066</v>
      </c>
      <c r="C175" s="3">
        <f t="shared" si="10"/>
        <v>2182.9640961798141</v>
      </c>
      <c r="D175" s="5">
        <f t="shared" si="11"/>
        <v>1528.5494841772768</v>
      </c>
      <c r="E175" s="3">
        <f t="shared" si="12"/>
        <v>654.4146120025373</v>
      </c>
      <c r="F175" s="10">
        <f t="shared" si="13"/>
        <v>252346.87932078814</v>
      </c>
      <c r="L175">
        <f>200</f>
        <v>200</v>
      </c>
    </row>
    <row r="176" spans="1:12" x14ac:dyDescent="0.2">
      <c r="A176" s="9">
        <v>162</v>
      </c>
      <c r="B176" s="5">
        <f t="shared" si="14"/>
        <v>252346.87932078814</v>
      </c>
      <c r="C176" s="3">
        <f t="shared" si="10"/>
        <v>2182.9640961798141</v>
      </c>
      <c r="D176" s="5">
        <f t="shared" si="11"/>
        <v>1524.5957292297617</v>
      </c>
      <c r="E176" s="3">
        <f t="shared" si="12"/>
        <v>658.3683669500524</v>
      </c>
      <c r="F176" s="10">
        <f t="shared" si="13"/>
        <v>251688.51095383809</v>
      </c>
      <c r="L176">
        <f>200</f>
        <v>200</v>
      </c>
    </row>
    <row r="177" spans="1:12" x14ac:dyDescent="0.2">
      <c r="A177" s="9">
        <v>163</v>
      </c>
      <c r="B177" s="5">
        <f t="shared" si="14"/>
        <v>251688.51095383809</v>
      </c>
      <c r="C177" s="3">
        <f t="shared" si="10"/>
        <v>2182.9640961798141</v>
      </c>
      <c r="D177" s="5">
        <f t="shared" si="11"/>
        <v>1520.6180870127716</v>
      </c>
      <c r="E177" s="3">
        <f t="shared" si="12"/>
        <v>662.34600916704244</v>
      </c>
      <c r="F177" s="10">
        <f t="shared" si="13"/>
        <v>251026.16494467104</v>
      </c>
      <c r="L177">
        <f>200</f>
        <v>200</v>
      </c>
    </row>
    <row r="178" spans="1:12" x14ac:dyDescent="0.2">
      <c r="A178" s="9">
        <v>164</v>
      </c>
      <c r="B178" s="5">
        <f t="shared" si="14"/>
        <v>251026.16494467104</v>
      </c>
      <c r="C178" s="3">
        <f t="shared" si="10"/>
        <v>2182.9640961798141</v>
      </c>
      <c r="D178" s="5">
        <f t="shared" si="11"/>
        <v>1516.6164132073873</v>
      </c>
      <c r="E178" s="3">
        <f t="shared" si="12"/>
        <v>666.34768297242681</v>
      </c>
      <c r="F178" s="10">
        <f t="shared" si="13"/>
        <v>250359.8172616986</v>
      </c>
      <c r="L178">
        <f>200</f>
        <v>200</v>
      </c>
    </row>
    <row r="179" spans="1:12" x14ac:dyDescent="0.2">
      <c r="A179" s="9">
        <v>165</v>
      </c>
      <c r="B179" s="5">
        <f t="shared" si="14"/>
        <v>250359.8172616986</v>
      </c>
      <c r="C179" s="3">
        <f t="shared" si="10"/>
        <v>2182.9640961798141</v>
      </c>
      <c r="D179" s="5">
        <f t="shared" si="11"/>
        <v>1512.5905626227623</v>
      </c>
      <c r="E179" s="3">
        <f t="shared" si="12"/>
        <v>670.37353355705181</v>
      </c>
      <c r="F179" s="10">
        <f t="shared" si="13"/>
        <v>249689.44372814154</v>
      </c>
      <c r="L179">
        <f>200</f>
        <v>200</v>
      </c>
    </row>
    <row r="180" spans="1:12" x14ac:dyDescent="0.2">
      <c r="A180" s="9">
        <v>166</v>
      </c>
      <c r="B180" s="5">
        <f t="shared" si="14"/>
        <v>249689.44372814154</v>
      </c>
      <c r="C180" s="3">
        <f t="shared" si="10"/>
        <v>2182.9640961798141</v>
      </c>
      <c r="D180" s="5">
        <f t="shared" si="11"/>
        <v>1508.5403891908552</v>
      </c>
      <c r="E180" s="3">
        <f t="shared" si="12"/>
        <v>674.42370698895888</v>
      </c>
      <c r="F180" s="10">
        <f t="shared" si="13"/>
        <v>249015.0200211526</v>
      </c>
      <c r="L180">
        <f>200</f>
        <v>200</v>
      </c>
    </row>
    <row r="181" spans="1:12" x14ac:dyDescent="0.2">
      <c r="A181" s="9">
        <v>167</v>
      </c>
      <c r="B181" s="5">
        <f t="shared" si="14"/>
        <v>249015.0200211526</v>
      </c>
      <c r="C181" s="3">
        <f t="shared" si="10"/>
        <v>2182.9640961798141</v>
      </c>
      <c r="D181" s="5">
        <f t="shared" si="11"/>
        <v>1504.4657459611301</v>
      </c>
      <c r="E181" s="3">
        <f t="shared" si="12"/>
        <v>678.49835021868398</v>
      </c>
      <c r="F181" s="10">
        <f t="shared" si="13"/>
        <v>248336.5216709339</v>
      </c>
      <c r="L181">
        <f>200</f>
        <v>200</v>
      </c>
    </row>
    <row r="182" spans="1:12" x14ac:dyDescent="0.2">
      <c r="A182" s="9">
        <v>168</v>
      </c>
      <c r="B182" s="5">
        <f t="shared" si="14"/>
        <v>248336.5216709339</v>
      </c>
      <c r="C182" s="3">
        <f t="shared" si="10"/>
        <v>2182.9640961798141</v>
      </c>
      <c r="D182" s="5">
        <f t="shared" si="11"/>
        <v>1500.3664850952255</v>
      </c>
      <c r="E182" s="3">
        <f t="shared" si="12"/>
        <v>682.59761108458861</v>
      </c>
      <c r="F182" s="10">
        <f t="shared" si="13"/>
        <v>247653.92405984932</v>
      </c>
      <c r="L182">
        <f>200</f>
        <v>200</v>
      </c>
    </row>
    <row r="183" spans="1:12" x14ac:dyDescent="0.2">
      <c r="A183" s="9">
        <v>169</v>
      </c>
      <c r="B183" s="5">
        <f t="shared" si="14"/>
        <v>247653.92405984932</v>
      </c>
      <c r="C183" s="3">
        <f t="shared" si="10"/>
        <v>2182.9640961798141</v>
      </c>
      <c r="D183" s="5">
        <f t="shared" si="11"/>
        <v>1496.2424578615894</v>
      </c>
      <c r="E183" s="3">
        <f t="shared" si="12"/>
        <v>686.72163831822468</v>
      </c>
      <c r="F183" s="10">
        <f t="shared" si="13"/>
        <v>246967.20242153108</v>
      </c>
      <c r="L183">
        <f>200</f>
        <v>200</v>
      </c>
    </row>
    <row r="184" spans="1:12" x14ac:dyDescent="0.2">
      <c r="A184" s="9">
        <v>170</v>
      </c>
      <c r="B184" s="5">
        <f t="shared" si="14"/>
        <v>246967.20242153108</v>
      </c>
      <c r="C184" s="3">
        <f t="shared" si="10"/>
        <v>2182.9640961798141</v>
      </c>
      <c r="D184" s="5">
        <f t="shared" si="11"/>
        <v>1492.0935146300835</v>
      </c>
      <c r="E184" s="3">
        <f t="shared" si="12"/>
        <v>690.87058154973056</v>
      </c>
      <c r="F184" s="10">
        <f t="shared" si="13"/>
        <v>246276.33183998134</v>
      </c>
      <c r="L184">
        <f>200</f>
        <v>200</v>
      </c>
    </row>
    <row r="185" spans="1:12" x14ac:dyDescent="0.2">
      <c r="A185" s="9">
        <v>171</v>
      </c>
      <c r="B185" s="5">
        <f t="shared" si="14"/>
        <v>246276.33183998134</v>
      </c>
      <c r="C185" s="3">
        <f t="shared" si="10"/>
        <v>2182.9640961798141</v>
      </c>
      <c r="D185" s="5">
        <f t="shared" si="11"/>
        <v>1487.919504866554</v>
      </c>
      <c r="E185" s="3">
        <f t="shared" si="12"/>
        <v>695.04459131326007</v>
      </c>
      <c r="F185" s="10">
        <f t="shared" si="13"/>
        <v>245581.28724866809</v>
      </c>
      <c r="L185">
        <f>200</f>
        <v>200</v>
      </c>
    </row>
    <row r="186" spans="1:12" x14ac:dyDescent="0.2">
      <c r="A186" s="9">
        <v>172</v>
      </c>
      <c r="B186" s="5">
        <f t="shared" si="14"/>
        <v>245581.28724866809</v>
      </c>
      <c r="C186" s="3">
        <f t="shared" si="10"/>
        <v>2182.9640961798141</v>
      </c>
      <c r="D186" s="5">
        <f t="shared" si="11"/>
        <v>1483.7202771273696</v>
      </c>
      <c r="E186" s="3">
        <f t="shared" si="12"/>
        <v>699.24381905244445</v>
      </c>
      <c r="F186" s="10">
        <f t="shared" si="13"/>
        <v>244882.04342961565</v>
      </c>
      <c r="L186">
        <f>200</f>
        <v>200</v>
      </c>
    </row>
    <row r="187" spans="1:12" x14ac:dyDescent="0.2">
      <c r="A187" s="9">
        <v>173</v>
      </c>
      <c r="B187" s="5">
        <f t="shared" si="14"/>
        <v>244882.04342961565</v>
      </c>
      <c r="C187" s="3">
        <f t="shared" si="10"/>
        <v>2182.9640961798141</v>
      </c>
      <c r="D187" s="5">
        <f t="shared" si="11"/>
        <v>1479.4956790539279</v>
      </c>
      <c r="E187" s="3">
        <f t="shared" si="12"/>
        <v>703.46841712588616</v>
      </c>
      <c r="F187" s="10">
        <f t="shared" si="13"/>
        <v>244178.57501248975</v>
      </c>
      <c r="L187">
        <f>200</f>
        <v>200</v>
      </c>
    </row>
    <row r="188" spans="1:12" x14ac:dyDescent="0.2">
      <c r="A188" s="9">
        <v>174</v>
      </c>
      <c r="B188" s="5">
        <f t="shared" si="14"/>
        <v>244178.57501248975</v>
      </c>
      <c r="C188" s="3">
        <f t="shared" si="10"/>
        <v>2182.9640961798141</v>
      </c>
      <c r="D188" s="5">
        <f t="shared" si="11"/>
        <v>1475.2455573671252</v>
      </c>
      <c r="E188" s="3">
        <f t="shared" si="12"/>
        <v>707.71853881268885</v>
      </c>
      <c r="F188" s="10">
        <f t="shared" si="13"/>
        <v>243470.85647367706</v>
      </c>
      <c r="L188">
        <f>200</f>
        <v>200</v>
      </c>
    </row>
    <row r="189" spans="1:12" x14ac:dyDescent="0.2">
      <c r="A189" s="9">
        <v>175</v>
      </c>
      <c r="B189" s="5">
        <f t="shared" si="14"/>
        <v>243470.85647367706</v>
      </c>
      <c r="C189" s="3">
        <f t="shared" si="10"/>
        <v>2182.9640961798141</v>
      </c>
      <c r="D189" s="5">
        <f t="shared" si="11"/>
        <v>1470.9697578617988</v>
      </c>
      <c r="E189" s="3">
        <f t="shared" si="12"/>
        <v>711.99433831801525</v>
      </c>
      <c r="F189" s="10">
        <f t="shared" si="13"/>
        <v>242758.86213535906</v>
      </c>
      <c r="L189">
        <f>200</f>
        <v>200</v>
      </c>
    </row>
    <row r="190" spans="1:12" x14ac:dyDescent="0.2">
      <c r="A190" s="9">
        <v>176</v>
      </c>
      <c r="B190" s="5">
        <f t="shared" si="14"/>
        <v>242758.86213535906</v>
      </c>
      <c r="C190" s="3">
        <f t="shared" si="10"/>
        <v>2182.9640961798141</v>
      </c>
      <c r="D190" s="5">
        <f t="shared" si="11"/>
        <v>1466.6681254011276</v>
      </c>
      <c r="E190" s="3">
        <f t="shared" si="12"/>
        <v>716.29597077868652</v>
      </c>
      <c r="F190" s="10">
        <f t="shared" si="13"/>
        <v>242042.56616458038</v>
      </c>
      <c r="L190">
        <f>200</f>
        <v>200</v>
      </c>
    </row>
    <row r="191" spans="1:12" x14ac:dyDescent="0.2">
      <c r="A191" s="9">
        <v>177</v>
      </c>
      <c r="B191" s="5">
        <f t="shared" si="14"/>
        <v>242042.56616458038</v>
      </c>
      <c r="C191" s="3">
        <f t="shared" si="10"/>
        <v>2182.9640961798141</v>
      </c>
      <c r="D191" s="5">
        <f t="shared" si="11"/>
        <v>1462.3405039110064</v>
      </c>
      <c r="E191" s="3">
        <f t="shared" si="12"/>
        <v>720.62359226880767</v>
      </c>
      <c r="F191" s="10">
        <f t="shared" si="13"/>
        <v>241321.94257231156</v>
      </c>
      <c r="L191">
        <f>200</f>
        <v>200</v>
      </c>
    </row>
    <row r="192" spans="1:12" x14ac:dyDescent="0.2">
      <c r="A192" s="9">
        <v>178</v>
      </c>
      <c r="B192" s="5">
        <f t="shared" si="14"/>
        <v>241321.94257231156</v>
      </c>
      <c r="C192" s="3">
        <f t="shared" si="10"/>
        <v>2182.9640961798141</v>
      </c>
      <c r="D192" s="5">
        <f t="shared" si="11"/>
        <v>1457.9867363743822</v>
      </c>
      <c r="E192" s="3">
        <f t="shared" si="12"/>
        <v>724.97735980543189</v>
      </c>
      <c r="F192" s="10">
        <f t="shared" si="13"/>
        <v>240596.96521250613</v>
      </c>
      <c r="L192">
        <f>200</f>
        <v>200</v>
      </c>
    </row>
    <row r="193" spans="1:12" x14ac:dyDescent="0.2">
      <c r="A193" s="9">
        <v>179</v>
      </c>
      <c r="B193" s="5">
        <f t="shared" si="14"/>
        <v>240596.96521250613</v>
      </c>
      <c r="C193" s="3">
        <f t="shared" si="10"/>
        <v>2182.9640961798141</v>
      </c>
      <c r="D193" s="5">
        <f t="shared" si="11"/>
        <v>1453.6066648255576</v>
      </c>
      <c r="E193" s="3">
        <f t="shared" si="12"/>
        <v>729.35743135425651</v>
      </c>
      <c r="F193" s="10">
        <f t="shared" si="13"/>
        <v>239867.60778115186</v>
      </c>
      <c r="L193">
        <f>200</f>
        <v>200</v>
      </c>
    </row>
    <row r="194" spans="1:12" x14ac:dyDescent="0.2">
      <c r="A194" s="9">
        <v>180</v>
      </c>
      <c r="B194" s="5">
        <f t="shared" si="14"/>
        <v>239867.60778115186</v>
      </c>
      <c r="C194" s="3">
        <f t="shared" si="10"/>
        <v>2182.9640961798141</v>
      </c>
      <c r="D194" s="5">
        <f t="shared" si="11"/>
        <v>1449.2001303444592</v>
      </c>
      <c r="E194" s="3">
        <f t="shared" si="12"/>
        <v>733.76396583535484</v>
      </c>
      <c r="F194" s="10">
        <f t="shared" si="13"/>
        <v>239133.8438153165</v>
      </c>
      <c r="L194">
        <f>200</f>
        <v>200</v>
      </c>
    </row>
    <row r="195" spans="1:12" x14ac:dyDescent="0.2">
      <c r="A195" s="9">
        <v>181</v>
      </c>
      <c r="B195" s="5">
        <f t="shared" si="14"/>
        <v>239133.8438153165</v>
      </c>
      <c r="C195" s="3">
        <f t="shared" si="10"/>
        <v>2182.9640961798141</v>
      </c>
      <c r="D195" s="5">
        <f t="shared" si="11"/>
        <v>1444.7669730508705</v>
      </c>
      <c r="E195" s="3">
        <f t="shared" si="12"/>
        <v>738.19712312894353</v>
      </c>
      <c r="F195" s="10">
        <f t="shared" si="13"/>
        <v>238395.64669218755</v>
      </c>
      <c r="L195">
        <f>200</f>
        <v>200</v>
      </c>
    </row>
    <row r="196" spans="1:12" x14ac:dyDescent="0.2">
      <c r="A196" s="9">
        <v>182</v>
      </c>
      <c r="B196" s="5">
        <f t="shared" si="14"/>
        <v>238395.64669218755</v>
      </c>
      <c r="C196" s="3">
        <f t="shared" si="10"/>
        <v>2182.9640961798141</v>
      </c>
      <c r="D196" s="5">
        <f t="shared" si="11"/>
        <v>1440.3070320986328</v>
      </c>
      <c r="E196" s="3">
        <f t="shared" si="12"/>
        <v>742.65706408118126</v>
      </c>
      <c r="F196" s="10">
        <f t="shared" si="13"/>
        <v>237652.98962810638</v>
      </c>
      <c r="L196">
        <f>200</f>
        <v>200</v>
      </c>
    </row>
    <row r="197" spans="1:12" x14ac:dyDescent="0.2">
      <c r="A197" s="9">
        <v>183</v>
      </c>
      <c r="B197" s="5">
        <f t="shared" si="14"/>
        <v>237652.98962810638</v>
      </c>
      <c r="C197" s="3">
        <f t="shared" si="10"/>
        <v>2182.9640961798141</v>
      </c>
      <c r="D197" s="5">
        <f t="shared" si="11"/>
        <v>1435.8201456698091</v>
      </c>
      <c r="E197" s="3">
        <f t="shared" si="12"/>
        <v>747.14395051000497</v>
      </c>
      <c r="F197" s="10">
        <f t="shared" si="13"/>
        <v>236905.84567759637</v>
      </c>
      <c r="L197">
        <f>200</f>
        <v>200</v>
      </c>
    </row>
    <row r="198" spans="1:12" x14ac:dyDescent="0.2">
      <c r="A198" s="9">
        <v>184</v>
      </c>
      <c r="B198" s="5">
        <f t="shared" si="14"/>
        <v>236905.84567759637</v>
      </c>
      <c r="C198" s="3">
        <f t="shared" si="10"/>
        <v>2182.9640961798141</v>
      </c>
      <c r="D198" s="5">
        <f t="shared" si="11"/>
        <v>1431.3061509688114</v>
      </c>
      <c r="E198" s="3">
        <f t="shared" si="12"/>
        <v>751.6579452110027</v>
      </c>
      <c r="F198" s="10">
        <f t="shared" si="13"/>
        <v>236154.18773238536</v>
      </c>
      <c r="L198">
        <f>200</f>
        <v>200</v>
      </c>
    </row>
    <row r="199" spans="1:12" x14ac:dyDescent="0.2">
      <c r="A199" s="9">
        <v>185</v>
      </c>
      <c r="B199" s="5">
        <f t="shared" si="14"/>
        <v>236154.18773238536</v>
      </c>
      <c r="C199" s="3">
        <f t="shared" si="10"/>
        <v>2182.9640961798141</v>
      </c>
      <c r="D199" s="5">
        <f t="shared" si="11"/>
        <v>1426.7648842164947</v>
      </c>
      <c r="E199" s="3">
        <f t="shared" si="12"/>
        <v>756.19921196331939</v>
      </c>
      <c r="F199" s="10">
        <f t="shared" si="13"/>
        <v>235397.98852042205</v>
      </c>
      <c r="L199">
        <f>200</f>
        <v>200</v>
      </c>
    </row>
    <row r="200" spans="1:12" x14ac:dyDescent="0.2">
      <c r="A200" s="9">
        <v>186</v>
      </c>
      <c r="B200" s="5">
        <f t="shared" si="14"/>
        <v>235397.98852042205</v>
      </c>
      <c r="C200" s="3">
        <f t="shared" si="10"/>
        <v>2182.9640961798141</v>
      </c>
      <c r="D200" s="5">
        <f t="shared" si="11"/>
        <v>1422.1961806442166</v>
      </c>
      <c r="E200" s="3">
        <f t="shared" si="12"/>
        <v>760.76791553559747</v>
      </c>
      <c r="F200" s="10">
        <f t="shared" si="13"/>
        <v>234637.22060488645</v>
      </c>
      <c r="L200">
        <f>200</f>
        <v>200</v>
      </c>
    </row>
    <row r="201" spans="1:12" x14ac:dyDescent="0.2">
      <c r="A201" s="9">
        <v>187</v>
      </c>
      <c r="B201" s="5">
        <f t="shared" si="14"/>
        <v>234637.22060488645</v>
      </c>
      <c r="C201" s="3">
        <f t="shared" si="10"/>
        <v>2182.9640961798141</v>
      </c>
      <c r="D201" s="5">
        <f t="shared" si="11"/>
        <v>1417.5998744878555</v>
      </c>
      <c r="E201" s="3">
        <f t="shared" si="12"/>
        <v>765.36422169195862</v>
      </c>
      <c r="F201" s="10">
        <f t="shared" si="13"/>
        <v>233871.85638319448</v>
      </c>
      <c r="L201">
        <f>200</f>
        <v>200</v>
      </c>
    </row>
    <row r="202" spans="1:12" x14ac:dyDescent="0.2">
      <c r="A202" s="9">
        <v>188</v>
      </c>
      <c r="B202" s="5">
        <f t="shared" si="14"/>
        <v>233871.85638319448</v>
      </c>
      <c r="C202" s="3">
        <f t="shared" si="10"/>
        <v>2182.9640961798141</v>
      </c>
      <c r="D202" s="5">
        <f t="shared" si="11"/>
        <v>1412.9757989817999</v>
      </c>
      <c r="E202" s="3">
        <f t="shared" si="12"/>
        <v>769.98829719801415</v>
      </c>
      <c r="F202" s="10">
        <f t="shared" si="13"/>
        <v>233101.86808599645</v>
      </c>
      <c r="L202">
        <f>200</f>
        <v>200</v>
      </c>
    </row>
    <row r="203" spans="1:12" x14ac:dyDescent="0.2">
      <c r="A203" s="9">
        <v>189</v>
      </c>
      <c r="B203" s="5">
        <f t="shared" si="14"/>
        <v>233101.86808599645</v>
      </c>
      <c r="C203" s="3">
        <f t="shared" si="10"/>
        <v>2182.9640961798141</v>
      </c>
      <c r="D203" s="5">
        <f t="shared" si="11"/>
        <v>1408.323786352895</v>
      </c>
      <c r="E203" s="3">
        <f t="shared" si="12"/>
        <v>774.64030982691907</v>
      </c>
      <c r="F203" s="10">
        <f t="shared" si="13"/>
        <v>232327.22777616954</v>
      </c>
      <c r="L203">
        <f>200</f>
        <v>200</v>
      </c>
    </row>
    <row r="204" spans="1:12" x14ac:dyDescent="0.2">
      <c r="A204" s="9">
        <v>190</v>
      </c>
      <c r="B204" s="5">
        <f t="shared" si="14"/>
        <v>232327.22777616954</v>
      </c>
      <c r="C204" s="3">
        <f t="shared" si="10"/>
        <v>2182.9640961798141</v>
      </c>
      <c r="D204" s="5">
        <f t="shared" si="11"/>
        <v>1403.6436678143575</v>
      </c>
      <c r="E204" s="3">
        <f t="shared" si="12"/>
        <v>779.32042836545656</v>
      </c>
      <c r="F204" s="10">
        <f t="shared" si="13"/>
        <v>231547.90734780408</v>
      </c>
      <c r="L204">
        <f>200</f>
        <v>200</v>
      </c>
    </row>
    <row r="205" spans="1:12" x14ac:dyDescent="0.2">
      <c r="A205" s="9">
        <v>191</v>
      </c>
      <c r="B205" s="5">
        <f t="shared" si="14"/>
        <v>231547.90734780408</v>
      </c>
      <c r="C205" s="3">
        <f t="shared" si="10"/>
        <v>2182.9640961798141</v>
      </c>
      <c r="D205" s="5">
        <f t="shared" si="11"/>
        <v>1398.9352735596494</v>
      </c>
      <c r="E205" s="3">
        <f t="shared" si="12"/>
        <v>784.02882262016465</v>
      </c>
      <c r="F205" s="10">
        <f t="shared" si="13"/>
        <v>230763.87852518391</v>
      </c>
      <c r="L205">
        <f>200</f>
        <v>200</v>
      </c>
    </row>
    <row r="206" spans="1:12" x14ac:dyDescent="0.2">
      <c r="A206" s="9">
        <v>192</v>
      </c>
      <c r="B206" s="5">
        <f t="shared" si="14"/>
        <v>230763.87852518391</v>
      </c>
      <c r="C206" s="3">
        <f t="shared" si="10"/>
        <v>2182.9640961798141</v>
      </c>
      <c r="D206" s="5">
        <f t="shared" si="11"/>
        <v>1394.1984327563193</v>
      </c>
      <c r="E206" s="3">
        <f t="shared" si="12"/>
        <v>788.76566342349474</v>
      </c>
      <c r="F206" s="10">
        <f t="shared" si="13"/>
        <v>229975.11286176043</v>
      </c>
      <c r="L206">
        <f>200</f>
        <v>200</v>
      </c>
    </row>
    <row r="207" spans="1:12" x14ac:dyDescent="0.2">
      <c r="A207" s="9">
        <v>193</v>
      </c>
      <c r="B207" s="5">
        <f t="shared" si="14"/>
        <v>229975.11286176043</v>
      </c>
      <c r="C207" s="3">
        <f t="shared" si="10"/>
        <v>2182.9640961798141</v>
      </c>
      <c r="D207" s="5">
        <f t="shared" si="11"/>
        <v>1389.4329735398023</v>
      </c>
      <c r="E207" s="3">
        <f t="shared" si="12"/>
        <v>793.53112264001174</v>
      </c>
      <c r="F207" s="10">
        <f t="shared" si="13"/>
        <v>229181.58173912042</v>
      </c>
      <c r="L207">
        <f>200</f>
        <v>200</v>
      </c>
    </row>
    <row r="208" spans="1:12" x14ac:dyDescent="0.2">
      <c r="A208" s="9">
        <v>194</v>
      </c>
      <c r="B208" s="5">
        <f t="shared" si="14"/>
        <v>229181.58173912042</v>
      </c>
      <c r="C208" s="3">
        <f t="shared" ref="C208:C271" si="15">$B$12</f>
        <v>2182.9640961798141</v>
      </c>
      <c r="D208" s="5">
        <f t="shared" ref="D208:D271" si="16">B208*$B$9/12</f>
        <v>1384.6387230071857</v>
      </c>
      <c r="E208" s="3">
        <f t="shared" ref="E208:E271" si="17">C208-D208</f>
        <v>798.32537317262836</v>
      </c>
      <c r="F208" s="10">
        <f t="shared" ref="F208:F271" si="18">B208-E208</f>
        <v>228383.2563659478</v>
      </c>
      <c r="L208">
        <f>200</f>
        <v>200</v>
      </c>
    </row>
    <row r="209" spans="1:12" x14ac:dyDescent="0.2">
      <c r="A209" s="9">
        <v>195</v>
      </c>
      <c r="B209" s="5">
        <f t="shared" ref="B209:B272" si="19">F208</f>
        <v>228383.2563659478</v>
      </c>
      <c r="C209" s="3">
        <f t="shared" si="15"/>
        <v>2182.9640961798141</v>
      </c>
      <c r="D209" s="5">
        <f t="shared" si="16"/>
        <v>1379.8155072109346</v>
      </c>
      <c r="E209" s="3">
        <f t="shared" si="17"/>
        <v>803.14858896887949</v>
      </c>
      <c r="F209" s="10">
        <f t="shared" si="18"/>
        <v>227580.10777697893</v>
      </c>
      <c r="L209">
        <f>200</f>
        <v>200</v>
      </c>
    </row>
    <row r="210" spans="1:12" x14ac:dyDescent="0.2">
      <c r="A210" s="9">
        <v>196</v>
      </c>
      <c r="B210" s="5">
        <f t="shared" si="19"/>
        <v>227580.10777697893</v>
      </c>
      <c r="C210" s="3">
        <f t="shared" si="15"/>
        <v>2182.9640961798141</v>
      </c>
      <c r="D210" s="5">
        <f t="shared" si="16"/>
        <v>1374.9631511525811</v>
      </c>
      <c r="E210" s="3">
        <f t="shared" si="17"/>
        <v>808.000945027233</v>
      </c>
      <c r="F210" s="10">
        <f t="shared" si="18"/>
        <v>226772.10683195171</v>
      </c>
      <c r="L210">
        <f>200</f>
        <v>200</v>
      </c>
    </row>
    <row r="211" spans="1:12" x14ac:dyDescent="0.2">
      <c r="A211" s="9">
        <v>197</v>
      </c>
      <c r="B211" s="5">
        <f t="shared" si="19"/>
        <v>226772.10683195171</v>
      </c>
      <c r="C211" s="3">
        <f t="shared" si="15"/>
        <v>2182.9640961798141</v>
      </c>
      <c r="D211" s="5">
        <f t="shared" si="16"/>
        <v>1370.0814787763748</v>
      </c>
      <c r="E211" s="3">
        <f t="shared" si="17"/>
        <v>812.88261740343933</v>
      </c>
      <c r="F211" s="10">
        <f t="shared" si="18"/>
        <v>225959.22421454827</v>
      </c>
      <c r="L211">
        <f>200</f>
        <v>200</v>
      </c>
    </row>
    <row r="212" spans="1:12" x14ac:dyDescent="0.2">
      <c r="A212" s="9">
        <v>198</v>
      </c>
      <c r="B212" s="5">
        <f t="shared" si="19"/>
        <v>225959.22421454827</v>
      </c>
      <c r="C212" s="3">
        <f t="shared" si="15"/>
        <v>2182.9640961798141</v>
      </c>
      <c r="D212" s="5">
        <f t="shared" si="16"/>
        <v>1365.1703129628957</v>
      </c>
      <c r="E212" s="3">
        <f t="shared" si="17"/>
        <v>817.79378321691843</v>
      </c>
      <c r="F212" s="10">
        <f t="shared" si="18"/>
        <v>225141.43043133136</v>
      </c>
      <c r="L212">
        <f>200</f>
        <v>200</v>
      </c>
    </row>
    <row r="213" spans="1:12" x14ac:dyDescent="0.2">
      <c r="A213" s="9">
        <v>199</v>
      </c>
      <c r="B213" s="5">
        <f t="shared" si="19"/>
        <v>225141.43043133136</v>
      </c>
      <c r="C213" s="3">
        <f t="shared" si="15"/>
        <v>2182.9640961798141</v>
      </c>
      <c r="D213" s="5">
        <f t="shared" si="16"/>
        <v>1360.2294755226269</v>
      </c>
      <c r="E213" s="3">
        <f t="shared" si="17"/>
        <v>822.73462065718718</v>
      </c>
      <c r="F213" s="10">
        <f t="shared" si="18"/>
        <v>224318.69581067417</v>
      </c>
      <c r="L213">
        <f>200</f>
        <v>200</v>
      </c>
    </row>
    <row r="214" spans="1:12" x14ac:dyDescent="0.2">
      <c r="A214" s="9">
        <v>200</v>
      </c>
      <c r="B214" s="5">
        <f t="shared" si="19"/>
        <v>224318.69581067417</v>
      </c>
      <c r="C214" s="3">
        <f t="shared" si="15"/>
        <v>2182.9640961798141</v>
      </c>
      <c r="D214" s="5">
        <f t="shared" si="16"/>
        <v>1355.2587871894896</v>
      </c>
      <c r="E214" s="3">
        <f t="shared" si="17"/>
        <v>827.70530899032451</v>
      </c>
      <c r="F214" s="10">
        <f t="shared" si="18"/>
        <v>223490.99050168385</v>
      </c>
      <c r="L214">
        <f>200</f>
        <v>200</v>
      </c>
    </row>
    <row r="215" spans="1:12" x14ac:dyDescent="0.2">
      <c r="A215" s="9">
        <v>201</v>
      </c>
      <c r="B215" s="5">
        <f t="shared" si="19"/>
        <v>223490.99050168385</v>
      </c>
      <c r="C215" s="3">
        <f t="shared" si="15"/>
        <v>2182.9640961798141</v>
      </c>
      <c r="D215" s="5">
        <f t="shared" si="16"/>
        <v>1350.2580676143398</v>
      </c>
      <c r="E215" s="3">
        <f t="shared" si="17"/>
        <v>832.7060285654743</v>
      </c>
      <c r="F215" s="10">
        <f t="shared" si="18"/>
        <v>222658.28447311837</v>
      </c>
      <c r="L215">
        <f>200</f>
        <v>200</v>
      </c>
    </row>
    <row r="216" spans="1:12" x14ac:dyDescent="0.2">
      <c r="A216" s="9">
        <v>202</v>
      </c>
      <c r="B216" s="5">
        <f t="shared" si="19"/>
        <v>222658.28447311837</v>
      </c>
      <c r="C216" s="3">
        <f t="shared" si="15"/>
        <v>2182.9640961798141</v>
      </c>
      <c r="D216" s="5">
        <f t="shared" si="16"/>
        <v>1345.2271353584235</v>
      </c>
      <c r="E216" s="3">
        <f t="shared" si="17"/>
        <v>837.73696082139054</v>
      </c>
      <c r="F216" s="10">
        <f t="shared" si="18"/>
        <v>221820.54751229699</v>
      </c>
      <c r="L216">
        <f>200</f>
        <v>200</v>
      </c>
    </row>
    <row r="217" spans="1:12" x14ac:dyDescent="0.2">
      <c r="A217" s="9">
        <v>203</v>
      </c>
      <c r="B217" s="5">
        <f t="shared" si="19"/>
        <v>221820.54751229699</v>
      </c>
      <c r="C217" s="3">
        <f t="shared" si="15"/>
        <v>2182.9640961798141</v>
      </c>
      <c r="D217" s="5">
        <f t="shared" si="16"/>
        <v>1340.1658078867943</v>
      </c>
      <c r="E217" s="3">
        <f t="shared" si="17"/>
        <v>842.79828829301982</v>
      </c>
      <c r="F217" s="10">
        <f t="shared" si="18"/>
        <v>220977.74922400399</v>
      </c>
      <c r="L217">
        <f>200</f>
        <v>200</v>
      </c>
    </row>
    <row r="218" spans="1:12" x14ac:dyDescent="0.2">
      <c r="A218" s="9">
        <v>204</v>
      </c>
      <c r="B218" s="5">
        <f t="shared" si="19"/>
        <v>220977.74922400399</v>
      </c>
      <c r="C218" s="3">
        <f t="shared" si="15"/>
        <v>2182.9640961798141</v>
      </c>
      <c r="D218" s="5">
        <f t="shared" si="16"/>
        <v>1335.0739015616907</v>
      </c>
      <c r="E218" s="3">
        <f t="shared" si="17"/>
        <v>847.89019461812336</v>
      </c>
      <c r="F218" s="10">
        <f t="shared" si="18"/>
        <v>220129.85902938587</v>
      </c>
      <c r="L218">
        <f>200</f>
        <v>200</v>
      </c>
    </row>
    <row r="219" spans="1:12" x14ac:dyDescent="0.2">
      <c r="A219" s="9">
        <v>205</v>
      </c>
      <c r="B219" s="5">
        <f t="shared" si="19"/>
        <v>220129.85902938587</v>
      </c>
      <c r="C219" s="3">
        <f t="shared" si="15"/>
        <v>2182.9640961798141</v>
      </c>
      <c r="D219" s="5">
        <f t="shared" si="16"/>
        <v>1329.951231635873</v>
      </c>
      <c r="E219" s="3">
        <f t="shared" si="17"/>
        <v>853.01286454394108</v>
      </c>
      <c r="F219" s="10">
        <f t="shared" si="18"/>
        <v>219276.84616484193</v>
      </c>
      <c r="L219">
        <f>200</f>
        <v>200</v>
      </c>
    </row>
    <row r="220" spans="1:12" x14ac:dyDescent="0.2">
      <c r="A220" s="9">
        <v>206</v>
      </c>
      <c r="B220" s="5">
        <f t="shared" si="19"/>
        <v>219276.84616484193</v>
      </c>
      <c r="C220" s="3">
        <f t="shared" si="15"/>
        <v>2182.9640961798141</v>
      </c>
      <c r="D220" s="5">
        <f t="shared" si="16"/>
        <v>1324.7976122459199</v>
      </c>
      <c r="E220" s="3">
        <f t="shared" si="17"/>
        <v>858.16648393389414</v>
      </c>
      <c r="F220" s="10">
        <f t="shared" si="18"/>
        <v>218418.67968090804</v>
      </c>
      <c r="L220">
        <f>200</f>
        <v>200</v>
      </c>
    </row>
    <row r="221" spans="1:12" x14ac:dyDescent="0.2">
      <c r="A221" s="9">
        <v>207</v>
      </c>
      <c r="B221" s="5">
        <f t="shared" si="19"/>
        <v>218418.67968090804</v>
      </c>
      <c r="C221" s="3">
        <f t="shared" si="15"/>
        <v>2182.9640961798141</v>
      </c>
      <c r="D221" s="5">
        <f t="shared" si="16"/>
        <v>1319.6128564054859</v>
      </c>
      <c r="E221" s="3">
        <f t="shared" si="17"/>
        <v>863.35123977432818</v>
      </c>
      <c r="F221" s="10">
        <f t="shared" si="18"/>
        <v>217555.32844113372</v>
      </c>
      <c r="L221">
        <f>200</f>
        <v>200</v>
      </c>
    </row>
    <row r="222" spans="1:12" x14ac:dyDescent="0.2">
      <c r="A222" s="9">
        <v>208</v>
      </c>
      <c r="B222" s="5">
        <f t="shared" si="19"/>
        <v>217555.32844113372</v>
      </c>
      <c r="C222" s="3">
        <f t="shared" si="15"/>
        <v>2182.9640961798141</v>
      </c>
      <c r="D222" s="5">
        <f t="shared" si="16"/>
        <v>1314.3967759985162</v>
      </c>
      <c r="E222" s="3">
        <f t="shared" si="17"/>
        <v>868.56732018129787</v>
      </c>
      <c r="F222" s="10">
        <f t="shared" si="18"/>
        <v>216686.76112095243</v>
      </c>
      <c r="L222">
        <f>200</f>
        <v>200</v>
      </c>
    </row>
    <row r="223" spans="1:12" x14ac:dyDescent="0.2">
      <c r="A223" s="9">
        <v>209</v>
      </c>
      <c r="B223" s="5">
        <f t="shared" si="19"/>
        <v>216686.76112095243</v>
      </c>
      <c r="C223" s="3">
        <f t="shared" si="15"/>
        <v>2182.9640961798141</v>
      </c>
      <c r="D223" s="5">
        <f t="shared" si="16"/>
        <v>1309.1491817724209</v>
      </c>
      <c r="E223" s="3">
        <f t="shared" si="17"/>
        <v>873.81491440739319</v>
      </c>
      <c r="F223" s="10">
        <f t="shared" si="18"/>
        <v>215812.94620654505</v>
      </c>
      <c r="L223">
        <f>200</f>
        <v>200</v>
      </c>
    </row>
    <row r="224" spans="1:12" x14ac:dyDescent="0.2">
      <c r="A224" s="9">
        <v>210</v>
      </c>
      <c r="B224" s="5">
        <f t="shared" si="19"/>
        <v>215812.94620654505</v>
      </c>
      <c r="C224" s="3">
        <f t="shared" si="15"/>
        <v>2182.9640961798141</v>
      </c>
      <c r="D224" s="5">
        <f t="shared" si="16"/>
        <v>1303.8698833312096</v>
      </c>
      <c r="E224" s="3">
        <f t="shared" si="17"/>
        <v>879.09421284860446</v>
      </c>
      <c r="F224" s="10">
        <f t="shared" si="18"/>
        <v>214933.85199369644</v>
      </c>
      <c r="L224">
        <f>200</f>
        <v>200</v>
      </c>
    </row>
    <row r="225" spans="1:12" x14ac:dyDescent="0.2">
      <c r="A225" s="9">
        <v>211</v>
      </c>
      <c r="B225" s="5">
        <f t="shared" si="19"/>
        <v>214933.85199369644</v>
      </c>
      <c r="C225" s="3">
        <f t="shared" si="15"/>
        <v>2182.9640961798141</v>
      </c>
      <c r="D225" s="5">
        <f t="shared" si="16"/>
        <v>1298.5586891285827</v>
      </c>
      <c r="E225" s="3">
        <f t="shared" si="17"/>
        <v>884.40540705123135</v>
      </c>
      <c r="F225" s="10">
        <f t="shared" si="18"/>
        <v>214049.44658664521</v>
      </c>
      <c r="L225">
        <f>200</f>
        <v>200</v>
      </c>
    </row>
    <row r="226" spans="1:12" x14ac:dyDescent="0.2">
      <c r="A226" s="9">
        <v>212</v>
      </c>
      <c r="B226" s="5">
        <f t="shared" si="19"/>
        <v>214049.44658664521</v>
      </c>
      <c r="C226" s="3">
        <f t="shared" si="15"/>
        <v>2182.9640961798141</v>
      </c>
      <c r="D226" s="5">
        <f t="shared" si="16"/>
        <v>1293.2154064609815</v>
      </c>
      <c r="E226" s="3">
        <f t="shared" si="17"/>
        <v>889.74868971883257</v>
      </c>
      <c r="F226" s="10">
        <f t="shared" si="18"/>
        <v>213159.69789692637</v>
      </c>
      <c r="L226">
        <f>200</f>
        <v>200</v>
      </c>
    </row>
    <row r="227" spans="1:12" x14ac:dyDescent="0.2">
      <c r="A227" s="9">
        <v>213</v>
      </c>
      <c r="B227" s="5">
        <f t="shared" si="19"/>
        <v>213159.69789692637</v>
      </c>
      <c r="C227" s="3">
        <f t="shared" si="15"/>
        <v>2182.9640961798141</v>
      </c>
      <c r="D227" s="5">
        <f t="shared" si="16"/>
        <v>1287.8398414605967</v>
      </c>
      <c r="E227" s="3">
        <f t="shared" si="17"/>
        <v>895.12425471921733</v>
      </c>
      <c r="F227" s="10">
        <f t="shared" si="18"/>
        <v>212264.57364220716</v>
      </c>
      <c r="L227">
        <f>200</f>
        <v>200</v>
      </c>
    </row>
    <row r="228" spans="1:12" x14ac:dyDescent="0.2">
      <c r="A228" s="9">
        <v>214</v>
      </c>
      <c r="B228" s="5">
        <f t="shared" si="19"/>
        <v>212264.57364220716</v>
      </c>
      <c r="C228" s="3">
        <f t="shared" si="15"/>
        <v>2182.9640961798141</v>
      </c>
      <c r="D228" s="5">
        <f t="shared" si="16"/>
        <v>1282.4317990883349</v>
      </c>
      <c r="E228" s="3">
        <f t="shared" si="17"/>
        <v>900.53229709147922</v>
      </c>
      <c r="F228" s="10">
        <f t="shared" si="18"/>
        <v>211364.04134511569</v>
      </c>
      <c r="L228">
        <f>200</f>
        <v>200</v>
      </c>
    </row>
    <row r="229" spans="1:12" x14ac:dyDescent="0.2">
      <c r="A229" s="9">
        <v>215</v>
      </c>
      <c r="B229" s="5">
        <f t="shared" si="19"/>
        <v>211364.04134511569</v>
      </c>
      <c r="C229" s="3">
        <f t="shared" si="15"/>
        <v>2182.9640961798141</v>
      </c>
      <c r="D229" s="5">
        <f t="shared" si="16"/>
        <v>1276.9910831267405</v>
      </c>
      <c r="E229" s="3">
        <f t="shared" si="17"/>
        <v>905.9730130530736</v>
      </c>
      <c r="F229" s="10">
        <f t="shared" si="18"/>
        <v>210458.06833206263</v>
      </c>
      <c r="L229">
        <f>200</f>
        <v>200</v>
      </c>
    </row>
    <row r="230" spans="1:12" x14ac:dyDescent="0.2">
      <c r="A230" s="9">
        <v>216</v>
      </c>
      <c r="B230" s="5">
        <f t="shared" si="19"/>
        <v>210458.06833206263</v>
      </c>
      <c r="C230" s="3">
        <f t="shared" si="15"/>
        <v>2182.9640961798141</v>
      </c>
      <c r="D230" s="5">
        <f t="shared" si="16"/>
        <v>1271.5174961728783</v>
      </c>
      <c r="E230" s="3">
        <f t="shared" si="17"/>
        <v>911.4466000069358</v>
      </c>
      <c r="F230" s="10">
        <f t="shared" si="18"/>
        <v>209546.6217320557</v>
      </c>
      <c r="L230">
        <f>200</f>
        <v>200</v>
      </c>
    </row>
    <row r="231" spans="1:12" x14ac:dyDescent="0.2">
      <c r="A231" s="9">
        <v>217</v>
      </c>
      <c r="B231" s="5">
        <f t="shared" si="19"/>
        <v>209546.6217320557</v>
      </c>
      <c r="C231" s="3">
        <f t="shared" si="15"/>
        <v>2182.9640961798141</v>
      </c>
      <c r="D231" s="5">
        <f t="shared" si="16"/>
        <v>1266.0108396311698</v>
      </c>
      <c r="E231" s="3">
        <f t="shared" si="17"/>
        <v>916.95325654864428</v>
      </c>
      <c r="F231" s="10">
        <f t="shared" si="18"/>
        <v>208629.66847550706</v>
      </c>
      <c r="L231">
        <f>200</f>
        <v>200</v>
      </c>
    </row>
    <row r="232" spans="1:12" x14ac:dyDescent="0.2">
      <c r="A232" s="9">
        <v>218</v>
      </c>
      <c r="B232" s="5">
        <f t="shared" si="19"/>
        <v>208629.66847550706</v>
      </c>
      <c r="C232" s="3">
        <f t="shared" si="15"/>
        <v>2182.9640961798141</v>
      </c>
      <c r="D232" s="5">
        <f t="shared" si="16"/>
        <v>1260.4709137061884</v>
      </c>
      <c r="E232" s="3">
        <f t="shared" si="17"/>
        <v>922.49318247362567</v>
      </c>
      <c r="F232" s="10">
        <f t="shared" si="18"/>
        <v>207707.17529303345</v>
      </c>
      <c r="L232">
        <f>200</f>
        <v>200</v>
      </c>
    </row>
    <row r="233" spans="1:12" x14ac:dyDescent="0.2">
      <c r="A233" s="9">
        <v>219</v>
      </c>
      <c r="B233" s="5">
        <f t="shared" si="19"/>
        <v>207707.17529303345</v>
      </c>
      <c r="C233" s="3">
        <f t="shared" si="15"/>
        <v>2182.9640961798141</v>
      </c>
      <c r="D233" s="5">
        <f t="shared" si="16"/>
        <v>1254.8975173954102</v>
      </c>
      <c r="E233" s="3">
        <f t="shared" si="17"/>
        <v>928.06657878440387</v>
      </c>
      <c r="F233" s="10">
        <f t="shared" si="18"/>
        <v>206779.10871424904</v>
      </c>
      <c r="L233">
        <f>200</f>
        <v>200</v>
      </c>
    </row>
    <row r="234" spans="1:12" x14ac:dyDescent="0.2">
      <c r="A234" s="9">
        <v>220</v>
      </c>
      <c r="B234" s="5">
        <f t="shared" si="19"/>
        <v>206779.10871424904</v>
      </c>
      <c r="C234" s="3">
        <f t="shared" si="15"/>
        <v>2182.9640961798141</v>
      </c>
      <c r="D234" s="5">
        <f t="shared" si="16"/>
        <v>1249.2904484819212</v>
      </c>
      <c r="E234" s="3">
        <f t="shared" si="17"/>
        <v>933.67364769789287</v>
      </c>
      <c r="F234" s="10">
        <f t="shared" si="18"/>
        <v>205845.43506655114</v>
      </c>
      <c r="L234">
        <f>200</f>
        <v>200</v>
      </c>
    </row>
    <row r="235" spans="1:12" x14ac:dyDescent="0.2">
      <c r="A235" s="9">
        <v>221</v>
      </c>
      <c r="B235" s="5">
        <f t="shared" si="19"/>
        <v>205845.43506655114</v>
      </c>
      <c r="C235" s="3">
        <f t="shared" si="15"/>
        <v>2182.9640961798141</v>
      </c>
      <c r="D235" s="5">
        <f t="shared" si="16"/>
        <v>1243.6495035270798</v>
      </c>
      <c r="E235" s="3">
        <f t="shared" si="17"/>
        <v>939.31459265273429</v>
      </c>
      <c r="F235" s="10">
        <f t="shared" si="18"/>
        <v>204906.12047389842</v>
      </c>
      <c r="L235">
        <f>200</f>
        <v>200</v>
      </c>
    </row>
    <row r="236" spans="1:12" x14ac:dyDescent="0.2">
      <c r="A236" s="9">
        <v>222</v>
      </c>
      <c r="B236" s="5">
        <f t="shared" si="19"/>
        <v>204906.12047389842</v>
      </c>
      <c r="C236" s="3">
        <f t="shared" si="15"/>
        <v>2182.9640961798141</v>
      </c>
      <c r="D236" s="5">
        <f t="shared" si="16"/>
        <v>1237.9744778631364</v>
      </c>
      <c r="E236" s="3">
        <f t="shared" si="17"/>
        <v>944.98961831667771</v>
      </c>
      <c r="F236" s="10">
        <f t="shared" si="18"/>
        <v>203961.13085558175</v>
      </c>
      <c r="L236">
        <f>200</f>
        <v>200</v>
      </c>
    </row>
    <row r="237" spans="1:12" x14ac:dyDescent="0.2">
      <c r="A237" s="9">
        <v>223</v>
      </c>
      <c r="B237" s="5">
        <f t="shared" si="19"/>
        <v>203961.13085558175</v>
      </c>
      <c r="C237" s="3">
        <f t="shared" si="15"/>
        <v>2182.9640961798141</v>
      </c>
      <c r="D237" s="5">
        <f t="shared" si="16"/>
        <v>1232.2651655858065</v>
      </c>
      <c r="E237" s="3">
        <f t="shared" si="17"/>
        <v>950.69893059400761</v>
      </c>
      <c r="F237" s="10">
        <f t="shared" si="18"/>
        <v>203010.43192498776</v>
      </c>
      <c r="L237">
        <f>200</f>
        <v>200</v>
      </c>
    </row>
    <row r="238" spans="1:12" x14ac:dyDescent="0.2">
      <c r="A238" s="9">
        <v>224</v>
      </c>
      <c r="B238" s="5">
        <f t="shared" si="19"/>
        <v>203010.43192498776</v>
      </c>
      <c r="C238" s="3">
        <f t="shared" si="15"/>
        <v>2182.9640961798141</v>
      </c>
      <c r="D238" s="5">
        <f t="shared" si="16"/>
        <v>1226.521359546801</v>
      </c>
      <c r="E238" s="3">
        <f t="shared" si="17"/>
        <v>956.44273663301306</v>
      </c>
      <c r="F238" s="10">
        <f t="shared" si="18"/>
        <v>202053.98918835475</v>
      </c>
      <c r="L238">
        <f>200</f>
        <v>200</v>
      </c>
    </row>
    <row r="239" spans="1:12" x14ac:dyDescent="0.2">
      <c r="A239" s="9">
        <v>225</v>
      </c>
      <c r="B239" s="5">
        <f t="shared" si="19"/>
        <v>202053.98918835475</v>
      </c>
      <c r="C239" s="3">
        <f t="shared" si="15"/>
        <v>2182.9640961798141</v>
      </c>
      <c r="D239" s="5">
        <f t="shared" si="16"/>
        <v>1220.7428513463099</v>
      </c>
      <c r="E239" s="3">
        <f t="shared" si="17"/>
        <v>962.22124483350422</v>
      </c>
      <c r="F239" s="10">
        <f t="shared" si="18"/>
        <v>201091.76794352126</v>
      </c>
      <c r="L239">
        <f>200</f>
        <v>200</v>
      </c>
    </row>
    <row r="240" spans="1:12" x14ac:dyDescent="0.2">
      <c r="A240" s="9">
        <v>226</v>
      </c>
      <c r="B240" s="5">
        <f t="shared" si="19"/>
        <v>201091.76794352126</v>
      </c>
      <c r="C240" s="3">
        <f t="shared" si="15"/>
        <v>2182.9640961798141</v>
      </c>
      <c r="D240" s="5">
        <f t="shared" si="16"/>
        <v>1214.9294313254409</v>
      </c>
      <c r="E240" s="3">
        <f t="shared" si="17"/>
        <v>968.0346648543732</v>
      </c>
      <c r="F240" s="10">
        <f t="shared" si="18"/>
        <v>200123.73327866688</v>
      </c>
      <c r="L240">
        <f>200</f>
        <v>200</v>
      </c>
    </row>
    <row r="241" spans="1:12" x14ac:dyDescent="0.2">
      <c r="A241" s="9">
        <v>227</v>
      </c>
      <c r="B241" s="5">
        <f t="shared" si="19"/>
        <v>200123.73327866688</v>
      </c>
      <c r="C241" s="3">
        <f t="shared" si="15"/>
        <v>2182.9640961798141</v>
      </c>
      <c r="D241" s="5">
        <f t="shared" si="16"/>
        <v>1209.0808885586123</v>
      </c>
      <c r="E241" s="3">
        <f t="shared" si="17"/>
        <v>973.88320762120179</v>
      </c>
      <c r="F241" s="10">
        <f t="shared" si="18"/>
        <v>199149.85007104569</v>
      </c>
      <c r="L241">
        <f>200</f>
        <v>200</v>
      </c>
    </row>
    <row r="242" spans="1:12" x14ac:dyDescent="0.2">
      <c r="A242" s="9">
        <v>228</v>
      </c>
      <c r="B242" s="5">
        <f t="shared" si="19"/>
        <v>199149.85007104569</v>
      </c>
      <c r="C242" s="3">
        <f t="shared" si="15"/>
        <v>2182.9640961798141</v>
      </c>
      <c r="D242" s="5">
        <f t="shared" si="16"/>
        <v>1203.1970108459009</v>
      </c>
      <c r="E242" s="3">
        <f t="shared" si="17"/>
        <v>979.7670853339132</v>
      </c>
      <c r="F242" s="10">
        <f t="shared" si="18"/>
        <v>198170.08298571178</v>
      </c>
      <c r="L242">
        <f>200</f>
        <v>200</v>
      </c>
    </row>
    <row r="243" spans="1:12" x14ac:dyDescent="0.2">
      <c r="A243" s="9">
        <v>229</v>
      </c>
      <c r="B243" s="5">
        <f t="shared" si="19"/>
        <v>198170.08298571178</v>
      </c>
      <c r="C243" s="3">
        <f t="shared" si="15"/>
        <v>2182.9640961798141</v>
      </c>
      <c r="D243" s="5">
        <f t="shared" si="16"/>
        <v>1197.277584705342</v>
      </c>
      <c r="E243" s="3">
        <f t="shared" si="17"/>
        <v>985.68651147447213</v>
      </c>
      <c r="F243" s="10">
        <f t="shared" si="18"/>
        <v>197184.39647423732</v>
      </c>
      <c r="L243">
        <f>200</f>
        <v>200</v>
      </c>
    </row>
    <row r="244" spans="1:12" x14ac:dyDescent="0.2">
      <c r="A244" s="9">
        <v>230</v>
      </c>
      <c r="B244" s="5">
        <f t="shared" si="19"/>
        <v>197184.39647423732</v>
      </c>
      <c r="C244" s="3">
        <f t="shared" si="15"/>
        <v>2182.9640961798141</v>
      </c>
      <c r="D244" s="5">
        <f t="shared" si="16"/>
        <v>1191.3223953651839</v>
      </c>
      <c r="E244" s="3">
        <f t="shared" si="17"/>
        <v>991.64170081463021</v>
      </c>
      <c r="F244" s="10">
        <f t="shared" si="18"/>
        <v>196192.7547734227</v>
      </c>
      <c r="L244">
        <f>200</f>
        <v>200</v>
      </c>
    </row>
    <row r="245" spans="1:12" x14ac:dyDescent="0.2">
      <c r="A245" s="9">
        <v>231</v>
      </c>
      <c r="B245" s="5">
        <f t="shared" si="19"/>
        <v>196192.7547734227</v>
      </c>
      <c r="C245" s="3">
        <f t="shared" si="15"/>
        <v>2182.9640961798141</v>
      </c>
      <c r="D245" s="5">
        <f t="shared" si="16"/>
        <v>1185.3312267560952</v>
      </c>
      <c r="E245" s="3">
        <f t="shared" si="17"/>
        <v>997.63286942371883</v>
      </c>
      <c r="F245" s="10">
        <f t="shared" si="18"/>
        <v>195195.12190399898</v>
      </c>
      <c r="L245">
        <f>200</f>
        <v>200</v>
      </c>
    </row>
    <row r="246" spans="1:12" x14ac:dyDescent="0.2">
      <c r="A246" s="9">
        <v>232</v>
      </c>
      <c r="B246" s="5">
        <f t="shared" si="19"/>
        <v>195195.12190399898</v>
      </c>
      <c r="C246" s="3">
        <f t="shared" si="15"/>
        <v>2182.9640961798141</v>
      </c>
      <c r="D246" s="5">
        <f t="shared" si="16"/>
        <v>1179.3038615033272</v>
      </c>
      <c r="E246" s="3">
        <f t="shared" si="17"/>
        <v>1003.6602346764869</v>
      </c>
      <c r="F246" s="10">
        <f t="shared" si="18"/>
        <v>194191.46166932248</v>
      </c>
      <c r="L246">
        <f>200</f>
        <v>200</v>
      </c>
    </row>
    <row r="247" spans="1:12" x14ac:dyDescent="0.2">
      <c r="A247" s="9">
        <v>233</v>
      </c>
      <c r="B247" s="5">
        <f t="shared" si="19"/>
        <v>194191.46166932248</v>
      </c>
      <c r="C247" s="3">
        <f t="shared" si="15"/>
        <v>2182.9640961798141</v>
      </c>
      <c r="D247" s="5">
        <f t="shared" si="16"/>
        <v>1173.2400809188232</v>
      </c>
      <c r="E247" s="3">
        <f t="shared" si="17"/>
        <v>1009.7240152609909</v>
      </c>
      <c r="F247" s="10">
        <f t="shared" si="18"/>
        <v>193181.73765406149</v>
      </c>
      <c r="L247">
        <f>200</f>
        <v>200</v>
      </c>
    </row>
    <row r="248" spans="1:12" x14ac:dyDescent="0.2">
      <c r="A248" s="9">
        <v>234</v>
      </c>
      <c r="B248" s="5">
        <f t="shared" si="19"/>
        <v>193181.73765406149</v>
      </c>
      <c r="C248" s="3">
        <f t="shared" si="15"/>
        <v>2182.9640961798141</v>
      </c>
      <c r="D248" s="5">
        <f t="shared" si="16"/>
        <v>1167.1396649932881</v>
      </c>
      <c r="E248" s="3">
        <f t="shared" si="17"/>
        <v>1015.824431186526</v>
      </c>
      <c r="F248" s="10">
        <f t="shared" si="18"/>
        <v>192165.91322287498</v>
      </c>
      <c r="L248">
        <f>200</f>
        <v>200</v>
      </c>
    </row>
    <row r="249" spans="1:12" x14ac:dyDescent="0.2">
      <c r="A249" s="9">
        <v>235</v>
      </c>
      <c r="B249" s="5">
        <f t="shared" si="19"/>
        <v>192165.91322287498</v>
      </c>
      <c r="C249" s="3">
        <f t="shared" si="15"/>
        <v>2182.9640961798141</v>
      </c>
      <c r="D249" s="5">
        <f t="shared" si="16"/>
        <v>1161.0023923882029</v>
      </c>
      <c r="E249" s="3">
        <f t="shared" si="17"/>
        <v>1021.9617037916112</v>
      </c>
      <c r="F249" s="10">
        <f t="shared" si="18"/>
        <v>191143.95151908338</v>
      </c>
      <c r="L249">
        <f>200</f>
        <v>200</v>
      </c>
    </row>
    <row r="250" spans="1:12" x14ac:dyDescent="0.2">
      <c r="A250" s="9">
        <v>236</v>
      </c>
      <c r="B250" s="5">
        <f t="shared" si="19"/>
        <v>191143.95151908338</v>
      </c>
      <c r="C250" s="3">
        <f t="shared" si="15"/>
        <v>2182.9640961798141</v>
      </c>
      <c r="D250" s="5">
        <f t="shared" si="16"/>
        <v>1154.8280404277953</v>
      </c>
      <c r="E250" s="3">
        <f t="shared" si="17"/>
        <v>1028.1360557520188</v>
      </c>
      <c r="F250" s="10">
        <f t="shared" si="18"/>
        <v>190115.81546333135</v>
      </c>
      <c r="L250">
        <f>200</f>
        <v>200</v>
      </c>
    </row>
    <row r="251" spans="1:12" x14ac:dyDescent="0.2">
      <c r="A251" s="9">
        <v>237</v>
      </c>
      <c r="B251" s="5">
        <f t="shared" si="19"/>
        <v>190115.81546333135</v>
      </c>
      <c r="C251" s="3">
        <f t="shared" si="15"/>
        <v>2182.9640961798141</v>
      </c>
      <c r="D251" s="5">
        <f t="shared" si="16"/>
        <v>1148.6163850909602</v>
      </c>
      <c r="E251" s="3">
        <f t="shared" si="17"/>
        <v>1034.3477110888539</v>
      </c>
      <c r="F251" s="10">
        <f t="shared" si="18"/>
        <v>189081.46775224249</v>
      </c>
      <c r="L251">
        <f>200</f>
        <v>200</v>
      </c>
    </row>
    <row r="252" spans="1:12" x14ac:dyDescent="0.2">
      <c r="A252" s="9">
        <v>238</v>
      </c>
      <c r="B252" s="5">
        <f t="shared" si="19"/>
        <v>189081.46775224249</v>
      </c>
      <c r="C252" s="3">
        <f t="shared" si="15"/>
        <v>2182.9640961798141</v>
      </c>
      <c r="D252" s="5">
        <f t="shared" si="16"/>
        <v>1142.3672010031316</v>
      </c>
      <c r="E252" s="3">
        <f t="shared" si="17"/>
        <v>1040.5968951766824</v>
      </c>
      <c r="F252" s="10">
        <f t="shared" si="18"/>
        <v>188040.87085706581</v>
      </c>
      <c r="L252">
        <f>200</f>
        <v>200</v>
      </c>
    </row>
    <row r="253" spans="1:12" x14ac:dyDescent="0.2">
      <c r="A253" s="9">
        <v>239</v>
      </c>
      <c r="B253" s="5">
        <f t="shared" si="19"/>
        <v>188040.87085706581</v>
      </c>
      <c r="C253" s="3">
        <f t="shared" si="15"/>
        <v>2182.9640961798141</v>
      </c>
      <c r="D253" s="5">
        <f t="shared" si="16"/>
        <v>1136.0802614281058</v>
      </c>
      <c r="E253" s="3">
        <f t="shared" si="17"/>
        <v>1046.8838347517083</v>
      </c>
      <c r="F253" s="10">
        <f t="shared" si="18"/>
        <v>186993.9870223141</v>
      </c>
      <c r="L253">
        <f>200</f>
        <v>200</v>
      </c>
    </row>
    <row r="254" spans="1:12" x14ac:dyDescent="0.2">
      <c r="A254" s="9">
        <v>240</v>
      </c>
      <c r="B254" s="5">
        <f t="shared" si="19"/>
        <v>186993.9870223141</v>
      </c>
      <c r="C254" s="3">
        <f t="shared" si="15"/>
        <v>2182.9640961798141</v>
      </c>
      <c r="D254" s="5">
        <f t="shared" si="16"/>
        <v>1129.7553382598142</v>
      </c>
      <c r="E254" s="3">
        <f t="shared" si="17"/>
        <v>1053.2087579199999</v>
      </c>
      <c r="F254" s="10">
        <f t="shared" si="18"/>
        <v>185940.77826439412</v>
      </c>
      <c r="L254">
        <f>200</f>
        <v>200</v>
      </c>
    </row>
    <row r="255" spans="1:12" x14ac:dyDescent="0.2">
      <c r="A255" s="9">
        <v>241</v>
      </c>
      <c r="B255" s="5">
        <f t="shared" si="19"/>
        <v>185940.77826439412</v>
      </c>
      <c r="C255" s="3">
        <f t="shared" si="15"/>
        <v>2182.9640961798141</v>
      </c>
      <c r="D255" s="5">
        <f t="shared" si="16"/>
        <v>1123.3922020140478</v>
      </c>
      <c r="E255" s="3">
        <f t="shared" si="17"/>
        <v>1059.5718941657663</v>
      </c>
      <c r="F255" s="10">
        <f t="shared" si="18"/>
        <v>184881.20637022835</v>
      </c>
      <c r="L255">
        <f>200</f>
        <v>200</v>
      </c>
    </row>
    <row r="256" spans="1:12" x14ac:dyDescent="0.2">
      <c r="A256" s="9">
        <v>242</v>
      </c>
      <c r="B256" s="5">
        <f t="shared" si="19"/>
        <v>184881.20637022835</v>
      </c>
      <c r="C256" s="3">
        <f t="shared" si="15"/>
        <v>2182.9640961798141</v>
      </c>
      <c r="D256" s="5">
        <f t="shared" si="16"/>
        <v>1116.9906218201295</v>
      </c>
      <c r="E256" s="3">
        <f t="shared" si="17"/>
        <v>1065.9734743596846</v>
      </c>
      <c r="F256" s="10">
        <f t="shared" si="18"/>
        <v>183815.23289586866</v>
      </c>
      <c r="L256">
        <f>200</f>
        <v>200</v>
      </c>
    </row>
    <row r="257" spans="1:12" x14ac:dyDescent="0.2">
      <c r="A257" s="9">
        <v>243</v>
      </c>
      <c r="B257" s="5">
        <f t="shared" si="19"/>
        <v>183815.23289586866</v>
      </c>
      <c r="C257" s="3">
        <f t="shared" si="15"/>
        <v>2182.9640961798141</v>
      </c>
      <c r="D257" s="5">
        <f t="shared" si="16"/>
        <v>1110.5503654125398</v>
      </c>
      <c r="E257" s="3">
        <f t="shared" si="17"/>
        <v>1072.4137307672743</v>
      </c>
      <c r="F257" s="10">
        <f t="shared" si="18"/>
        <v>182742.81916510139</v>
      </c>
      <c r="L257">
        <f>200</f>
        <v>200</v>
      </c>
    </row>
    <row r="258" spans="1:12" x14ac:dyDescent="0.2">
      <c r="A258" s="9">
        <v>244</v>
      </c>
      <c r="B258" s="5">
        <f t="shared" si="19"/>
        <v>182742.81916510139</v>
      </c>
      <c r="C258" s="3">
        <f t="shared" si="15"/>
        <v>2182.9640961798141</v>
      </c>
      <c r="D258" s="5">
        <f t="shared" si="16"/>
        <v>1104.0711991224875</v>
      </c>
      <c r="E258" s="3">
        <f t="shared" si="17"/>
        <v>1078.8928970573265</v>
      </c>
      <c r="F258" s="10">
        <f t="shared" si="18"/>
        <v>181663.92626804407</v>
      </c>
      <c r="L258">
        <f>200</f>
        <v>200</v>
      </c>
    </row>
    <row r="259" spans="1:12" x14ac:dyDescent="0.2">
      <c r="A259" s="9">
        <v>245</v>
      </c>
      <c r="B259" s="5">
        <f t="shared" si="19"/>
        <v>181663.92626804407</v>
      </c>
      <c r="C259" s="3">
        <f t="shared" si="15"/>
        <v>2182.9640961798141</v>
      </c>
      <c r="D259" s="5">
        <f t="shared" si="16"/>
        <v>1097.5528878694329</v>
      </c>
      <c r="E259" s="3">
        <f t="shared" si="17"/>
        <v>1085.4112083103812</v>
      </c>
      <c r="F259" s="10">
        <f t="shared" si="18"/>
        <v>180578.51505973371</v>
      </c>
      <c r="L259">
        <f>200</f>
        <v>200</v>
      </c>
    </row>
    <row r="260" spans="1:12" x14ac:dyDescent="0.2">
      <c r="A260" s="9">
        <v>246</v>
      </c>
      <c r="B260" s="5">
        <f t="shared" si="19"/>
        <v>180578.51505973371</v>
      </c>
      <c r="C260" s="3">
        <f t="shared" si="15"/>
        <v>2182.9640961798141</v>
      </c>
      <c r="D260" s="5">
        <f t="shared" si="16"/>
        <v>1090.9951951525577</v>
      </c>
      <c r="E260" s="3">
        <f t="shared" si="17"/>
        <v>1091.9689010272564</v>
      </c>
      <c r="F260" s="10">
        <f t="shared" si="18"/>
        <v>179486.54615870645</v>
      </c>
      <c r="L260">
        <f>200</f>
        <v>200</v>
      </c>
    </row>
    <row r="261" spans="1:12" x14ac:dyDescent="0.2">
      <c r="A261" s="9">
        <v>247</v>
      </c>
      <c r="B261" s="5">
        <f t="shared" si="19"/>
        <v>179486.54615870645</v>
      </c>
      <c r="C261" s="3">
        <f t="shared" si="15"/>
        <v>2182.9640961798141</v>
      </c>
      <c r="D261" s="5">
        <f t="shared" si="16"/>
        <v>1084.3978830421847</v>
      </c>
      <c r="E261" s="3">
        <f t="shared" si="17"/>
        <v>1098.5662131376293</v>
      </c>
      <c r="F261" s="10">
        <f t="shared" si="18"/>
        <v>178387.97994556883</v>
      </c>
      <c r="L261">
        <f>200</f>
        <v>200</v>
      </c>
    </row>
    <row r="262" spans="1:12" x14ac:dyDescent="0.2">
      <c r="A262" s="9">
        <v>248</v>
      </c>
      <c r="B262" s="5">
        <f t="shared" si="19"/>
        <v>178387.97994556883</v>
      </c>
      <c r="C262" s="3">
        <f t="shared" si="15"/>
        <v>2182.9640961798141</v>
      </c>
      <c r="D262" s="5">
        <f t="shared" si="16"/>
        <v>1077.7607121711451</v>
      </c>
      <c r="E262" s="3">
        <f t="shared" si="17"/>
        <v>1105.203384008669</v>
      </c>
      <c r="F262" s="10">
        <f t="shared" si="18"/>
        <v>177282.77656156017</v>
      </c>
      <c r="L262">
        <f>200</f>
        <v>200</v>
      </c>
    </row>
    <row r="263" spans="1:12" x14ac:dyDescent="0.2">
      <c r="A263" s="9">
        <v>249</v>
      </c>
      <c r="B263" s="5">
        <f t="shared" si="19"/>
        <v>177282.77656156017</v>
      </c>
      <c r="C263" s="3">
        <f t="shared" si="15"/>
        <v>2182.9640961798141</v>
      </c>
      <c r="D263" s="5">
        <f t="shared" si="16"/>
        <v>1071.0834417260926</v>
      </c>
      <c r="E263" s="3">
        <f t="shared" si="17"/>
        <v>1111.8806544537215</v>
      </c>
      <c r="F263" s="10">
        <f t="shared" si="18"/>
        <v>176170.89590710646</v>
      </c>
      <c r="L263">
        <f>200</f>
        <v>200</v>
      </c>
    </row>
    <row r="264" spans="1:12" x14ac:dyDescent="0.2">
      <c r="A264" s="9">
        <v>250</v>
      </c>
      <c r="B264" s="5">
        <f t="shared" si="19"/>
        <v>176170.89590710646</v>
      </c>
      <c r="C264" s="3">
        <f t="shared" si="15"/>
        <v>2182.9640961798141</v>
      </c>
      <c r="D264" s="5">
        <f t="shared" si="16"/>
        <v>1064.3658294387681</v>
      </c>
      <c r="E264" s="3">
        <f t="shared" si="17"/>
        <v>1118.598266741046</v>
      </c>
      <c r="F264" s="10">
        <f t="shared" si="18"/>
        <v>175052.2976403654</v>
      </c>
      <c r="L264">
        <f>200</f>
        <v>200</v>
      </c>
    </row>
    <row r="265" spans="1:12" x14ac:dyDescent="0.2">
      <c r="A265" s="9">
        <v>251</v>
      </c>
      <c r="B265" s="5">
        <f t="shared" si="19"/>
        <v>175052.2976403654</v>
      </c>
      <c r="C265" s="3">
        <f t="shared" si="15"/>
        <v>2182.9640961798141</v>
      </c>
      <c r="D265" s="5">
        <f t="shared" si="16"/>
        <v>1057.6076315772077</v>
      </c>
      <c r="E265" s="3">
        <f t="shared" si="17"/>
        <v>1125.3564646026064</v>
      </c>
      <c r="F265" s="10">
        <f t="shared" si="18"/>
        <v>173926.9411757628</v>
      </c>
      <c r="L265">
        <f>200</f>
        <v>200</v>
      </c>
    </row>
    <row r="266" spans="1:12" x14ac:dyDescent="0.2">
      <c r="A266" s="9">
        <v>252</v>
      </c>
      <c r="B266" s="5">
        <f t="shared" si="19"/>
        <v>173926.9411757628</v>
      </c>
      <c r="C266" s="3">
        <f t="shared" si="15"/>
        <v>2182.9640961798141</v>
      </c>
      <c r="D266" s="5">
        <f t="shared" si="16"/>
        <v>1050.8086029369001</v>
      </c>
      <c r="E266" s="3">
        <f t="shared" si="17"/>
        <v>1132.155493242914</v>
      </c>
      <c r="F266" s="10">
        <f t="shared" si="18"/>
        <v>172794.78568251987</v>
      </c>
      <c r="L266">
        <f>200</f>
        <v>200</v>
      </c>
    </row>
    <row r="267" spans="1:12" x14ac:dyDescent="0.2">
      <c r="A267" s="9">
        <v>253</v>
      </c>
      <c r="B267" s="5">
        <f t="shared" si="19"/>
        <v>172794.78568251987</v>
      </c>
      <c r="C267" s="3">
        <f t="shared" si="15"/>
        <v>2182.9640961798141</v>
      </c>
      <c r="D267" s="5">
        <f t="shared" si="16"/>
        <v>1043.9684968318909</v>
      </c>
      <c r="E267" s="3">
        <f t="shared" si="17"/>
        <v>1138.9955993479232</v>
      </c>
      <c r="F267" s="10">
        <f t="shared" si="18"/>
        <v>171655.79008317195</v>
      </c>
      <c r="L267">
        <f>200</f>
        <v>200</v>
      </c>
    </row>
    <row r="268" spans="1:12" x14ac:dyDescent="0.2">
      <c r="A268" s="9">
        <v>254</v>
      </c>
      <c r="B268" s="5">
        <f t="shared" si="19"/>
        <v>171655.79008317195</v>
      </c>
      <c r="C268" s="3">
        <f t="shared" si="15"/>
        <v>2182.9640961798141</v>
      </c>
      <c r="D268" s="5">
        <f t="shared" si="16"/>
        <v>1037.0870650858303</v>
      </c>
      <c r="E268" s="3">
        <f t="shared" si="17"/>
        <v>1145.8770310939838</v>
      </c>
      <c r="F268" s="10">
        <f t="shared" si="18"/>
        <v>170509.91305207796</v>
      </c>
      <c r="L268">
        <f>200</f>
        <v>200</v>
      </c>
    </row>
    <row r="269" spans="1:12" x14ac:dyDescent="0.2">
      <c r="A269" s="9">
        <v>255</v>
      </c>
      <c r="B269" s="5">
        <f t="shared" si="19"/>
        <v>170509.91305207796</v>
      </c>
      <c r="C269" s="3">
        <f t="shared" si="15"/>
        <v>2182.9640961798141</v>
      </c>
      <c r="D269" s="5">
        <f t="shared" si="16"/>
        <v>1030.1640580229709</v>
      </c>
      <c r="E269" s="3">
        <f t="shared" si="17"/>
        <v>1152.8000381568431</v>
      </c>
      <c r="F269" s="10">
        <f t="shared" si="18"/>
        <v>169357.1130139211</v>
      </c>
      <c r="L269">
        <f>200</f>
        <v>200</v>
      </c>
    </row>
    <row r="270" spans="1:12" x14ac:dyDescent="0.2">
      <c r="A270" s="9">
        <v>256</v>
      </c>
      <c r="B270" s="5">
        <f t="shared" si="19"/>
        <v>169357.1130139211</v>
      </c>
      <c r="C270" s="3">
        <f t="shared" si="15"/>
        <v>2182.9640961798141</v>
      </c>
      <c r="D270" s="5">
        <f t="shared" si="16"/>
        <v>1023.1992244591065</v>
      </c>
      <c r="E270" s="3">
        <f t="shared" si="17"/>
        <v>1159.7648717207076</v>
      </c>
      <c r="F270" s="10">
        <f t="shared" si="18"/>
        <v>168197.34814220038</v>
      </c>
      <c r="L270">
        <f>200</f>
        <v>200</v>
      </c>
    </row>
    <row r="271" spans="1:12" x14ac:dyDescent="0.2">
      <c r="A271" s="9">
        <v>257</v>
      </c>
      <c r="B271" s="5">
        <f t="shared" si="19"/>
        <v>168197.34814220038</v>
      </c>
      <c r="C271" s="3">
        <f t="shared" si="15"/>
        <v>2182.9640961798141</v>
      </c>
      <c r="D271" s="5">
        <f t="shared" si="16"/>
        <v>1016.1923116924605</v>
      </c>
      <c r="E271" s="3">
        <f t="shared" si="17"/>
        <v>1166.7717844873537</v>
      </c>
      <c r="F271" s="10">
        <f t="shared" si="18"/>
        <v>167030.57635771303</v>
      </c>
      <c r="L271">
        <f>200</f>
        <v>200</v>
      </c>
    </row>
    <row r="272" spans="1:12" x14ac:dyDescent="0.2">
      <c r="A272" s="9">
        <v>258</v>
      </c>
      <c r="B272" s="5">
        <f t="shared" si="19"/>
        <v>167030.57635771303</v>
      </c>
      <c r="C272" s="3">
        <f t="shared" ref="C272:C335" si="20">$B$12</f>
        <v>2182.9640961798141</v>
      </c>
      <c r="D272" s="5">
        <f t="shared" ref="D272:D335" si="21">B272*$B$9/12</f>
        <v>1009.1430654945161</v>
      </c>
      <c r="E272" s="3">
        <f t="shared" ref="E272:E335" si="22">C272-D272</f>
        <v>1173.821030685298</v>
      </c>
      <c r="F272" s="10">
        <f t="shared" ref="F272:F335" si="23">B272-E272</f>
        <v>165856.75532702773</v>
      </c>
      <c r="L272">
        <f>200</f>
        <v>200</v>
      </c>
    </row>
    <row r="273" spans="1:12" x14ac:dyDescent="0.2">
      <c r="A273" s="9">
        <v>259</v>
      </c>
      <c r="B273" s="5">
        <f t="shared" ref="B273:B336" si="24">F272</f>
        <v>165856.75532702773</v>
      </c>
      <c r="C273" s="3">
        <f t="shared" si="20"/>
        <v>2182.9640961798141</v>
      </c>
      <c r="D273" s="5">
        <f t="shared" si="21"/>
        <v>1002.0512301007925</v>
      </c>
      <c r="E273" s="3">
        <f t="shared" si="22"/>
        <v>1180.9128660790216</v>
      </c>
      <c r="F273" s="10">
        <f t="shared" si="23"/>
        <v>164675.84246094871</v>
      </c>
      <c r="L273">
        <f>200</f>
        <v>200</v>
      </c>
    </row>
    <row r="274" spans="1:12" x14ac:dyDescent="0.2">
      <c r="A274" s="9">
        <v>260</v>
      </c>
      <c r="B274" s="5">
        <f t="shared" si="24"/>
        <v>164675.84246094871</v>
      </c>
      <c r="C274" s="3">
        <f t="shared" si="20"/>
        <v>2182.9640961798141</v>
      </c>
      <c r="D274" s="5">
        <f t="shared" si="21"/>
        <v>994.91654820156509</v>
      </c>
      <c r="E274" s="3">
        <f t="shared" si="22"/>
        <v>1188.047547978249</v>
      </c>
      <c r="F274" s="10">
        <f t="shared" si="23"/>
        <v>163487.79491297045</v>
      </c>
      <c r="L274">
        <f>200</f>
        <v>200</v>
      </c>
    </row>
    <row r="275" spans="1:12" x14ac:dyDescent="0.2">
      <c r="A275" s="9">
        <v>261</v>
      </c>
      <c r="B275" s="5">
        <f t="shared" si="24"/>
        <v>163487.79491297045</v>
      </c>
      <c r="C275" s="3">
        <f t="shared" si="20"/>
        <v>2182.9640961798141</v>
      </c>
      <c r="D275" s="5">
        <f t="shared" si="21"/>
        <v>987.73876093252977</v>
      </c>
      <c r="E275" s="3">
        <f t="shared" si="22"/>
        <v>1195.2253352472844</v>
      </c>
      <c r="F275" s="10">
        <f t="shared" si="23"/>
        <v>162292.56957772316</v>
      </c>
      <c r="L275">
        <f>200</f>
        <v>200</v>
      </c>
    </row>
    <row r="276" spans="1:12" x14ac:dyDescent="0.2">
      <c r="A276" s="9">
        <v>262</v>
      </c>
      <c r="B276" s="5">
        <f t="shared" si="24"/>
        <v>162292.56957772316</v>
      </c>
      <c r="C276" s="3">
        <f t="shared" si="20"/>
        <v>2182.9640961798141</v>
      </c>
      <c r="D276" s="5">
        <f t="shared" si="21"/>
        <v>980.5176078654107</v>
      </c>
      <c r="E276" s="3">
        <f t="shared" si="22"/>
        <v>1202.4464883144033</v>
      </c>
      <c r="F276" s="10">
        <f t="shared" si="23"/>
        <v>161090.12308940876</v>
      </c>
      <c r="L276">
        <f>200</f>
        <v>200</v>
      </c>
    </row>
    <row r="277" spans="1:12" x14ac:dyDescent="0.2">
      <c r="A277" s="9">
        <v>263</v>
      </c>
      <c r="B277" s="5">
        <f t="shared" si="24"/>
        <v>161090.12308940876</v>
      </c>
      <c r="C277" s="3">
        <f t="shared" si="20"/>
        <v>2182.9640961798141</v>
      </c>
      <c r="D277" s="5">
        <f t="shared" si="21"/>
        <v>973.2528269985113</v>
      </c>
      <c r="E277" s="3">
        <f t="shared" si="22"/>
        <v>1209.7112691813027</v>
      </c>
      <c r="F277" s="10">
        <f t="shared" si="23"/>
        <v>159880.41182022745</v>
      </c>
      <c r="L277">
        <f>200</f>
        <v>200</v>
      </c>
    </row>
    <row r="278" spans="1:12" x14ac:dyDescent="0.2">
      <c r="A278" s="9">
        <v>264</v>
      </c>
      <c r="B278" s="5">
        <f t="shared" si="24"/>
        <v>159880.41182022745</v>
      </c>
      <c r="C278" s="3">
        <f t="shared" si="20"/>
        <v>2182.9640961798141</v>
      </c>
      <c r="D278" s="5">
        <f t="shared" si="21"/>
        <v>965.94415474720745</v>
      </c>
      <c r="E278" s="3">
        <f t="shared" si="22"/>
        <v>1217.0199414326066</v>
      </c>
      <c r="F278" s="10">
        <f t="shared" si="23"/>
        <v>158663.39187879485</v>
      </c>
      <c r="L278">
        <f>200</f>
        <v>200</v>
      </c>
    </row>
    <row r="279" spans="1:12" x14ac:dyDescent="0.2">
      <c r="A279" s="9">
        <v>265</v>
      </c>
      <c r="B279" s="5">
        <f t="shared" si="24"/>
        <v>158663.39187879485</v>
      </c>
      <c r="C279" s="3">
        <f t="shared" si="20"/>
        <v>2182.9640961798141</v>
      </c>
      <c r="D279" s="5">
        <f t="shared" si="21"/>
        <v>958.59132593438551</v>
      </c>
      <c r="E279" s="3">
        <f t="shared" si="22"/>
        <v>1224.3727702454285</v>
      </c>
      <c r="F279" s="10">
        <f t="shared" si="23"/>
        <v>157439.01910854943</v>
      </c>
      <c r="L279">
        <f>200</f>
        <v>200</v>
      </c>
    </row>
    <row r="280" spans="1:12" x14ac:dyDescent="0.2">
      <c r="A280" s="9">
        <v>266</v>
      </c>
      <c r="B280" s="5">
        <f t="shared" si="24"/>
        <v>157439.01910854943</v>
      </c>
      <c r="C280" s="3">
        <f t="shared" si="20"/>
        <v>2182.9640961798141</v>
      </c>
      <c r="D280" s="5">
        <f t="shared" si="21"/>
        <v>951.19407378081939</v>
      </c>
      <c r="E280" s="3">
        <f t="shared" si="22"/>
        <v>1231.7700223989946</v>
      </c>
      <c r="F280" s="10">
        <f t="shared" si="23"/>
        <v>156207.24908615043</v>
      </c>
      <c r="L280">
        <f>200</f>
        <v>200</v>
      </c>
    </row>
    <row r="281" spans="1:12" x14ac:dyDescent="0.2">
      <c r="A281" s="9">
        <v>267</v>
      </c>
      <c r="B281" s="5">
        <f t="shared" si="24"/>
        <v>156207.24908615043</v>
      </c>
      <c r="C281" s="3">
        <f t="shared" si="20"/>
        <v>2182.9640961798141</v>
      </c>
      <c r="D281" s="5">
        <f t="shared" si="21"/>
        <v>943.75212989549209</v>
      </c>
      <c r="E281" s="3">
        <f t="shared" si="22"/>
        <v>1239.211966284322</v>
      </c>
      <c r="F281" s="10">
        <f t="shared" si="23"/>
        <v>154968.03711986612</v>
      </c>
      <c r="L281">
        <f>200</f>
        <v>200</v>
      </c>
    </row>
    <row r="282" spans="1:12" x14ac:dyDescent="0.2">
      <c r="A282" s="9">
        <v>268</v>
      </c>
      <c r="B282" s="5">
        <f t="shared" si="24"/>
        <v>154968.03711986612</v>
      </c>
      <c r="C282" s="3">
        <f t="shared" si="20"/>
        <v>2182.9640961798141</v>
      </c>
      <c r="D282" s="5">
        <f t="shared" si="21"/>
        <v>936.26522426585768</v>
      </c>
      <c r="E282" s="3">
        <f t="shared" si="22"/>
        <v>1246.6988719139563</v>
      </c>
      <c r="F282" s="10">
        <f t="shared" si="23"/>
        <v>153721.33824795217</v>
      </c>
      <c r="L282">
        <f>200</f>
        <v>200</v>
      </c>
    </row>
    <row r="283" spans="1:12" x14ac:dyDescent="0.2">
      <c r="A283" s="9">
        <v>269</v>
      </c>
      <c r="B283" s="5">
        <f t="shared" si="24"/>
        <v>153721.33824795217</v>
      </c>
      <c r="C283" s="3">
        <f t="shared" si="20"/>
        <v>2182.9640961798141</v>
      </c>
      <c r="D283" s="5">
        <f t="shared" si="21"/>
        <v>928.73308524804418</v>
      </c>
      <c r="E283" s="3">
        <f t="shared" si="22"/>
        <v>1254.23101093177</v>
      </c>
      <c r="F283" s="10">
        <f t="shared" si="23"/>
        <v>152467.10723702039</v>
      </c>
      <c r="L283">
        <f>200</f>
        <v>200</v>
      </c>
    </row>
    <row r="284" spans="1:12" x14ac:dyDescent="0.2">
      <c r="A284" s="9">
        <v>270</v>
      </c>
      <c r="B284" s="5">
        <f t="shared" si="24"/>
        <v>152467.10723702039</v>
      </c>
      <c r="C284" s="3">
        <f t="shared" si="20"/>
        <v>2182.9640961798141</v>
      </c>
      <c r="D284" s="5">
        <f t="shared" si="21"/>
        <v>921.1554395569982</v>
      </c>
      <c r="E284" s="3">
        <f t="shared" si="22"/>
        <v>1261.8086566228158</v>
      </c>
      <c r="F284" s="10">
        <f t="shared" si="23"/>
        <v>151205.29858039756</v>
      </c>
      <c r="L284">
        <f>200</f>
        <v>200</v>
      </c>
    </row>
    <row r="285" spans="1:12" x14ac:dyDescent="0.2">
      <c r="A285" s="9">
        <v>271</v>
      </c>
      <c r="B285" s="5">
        <f t="shared" si="24"/>
        <v>151205.29858039756</v>
      </c>
      <c r="C285" s="3">
        <f t="shared" si="20"/>
        <v>2182.9640961798141</v>
      </c>
      <c r="D285" s="5">
        <f t="shared" si="21"/>
        <v>913.53201225656858</v>
      </c>
      <c r="E285" s="3">
        <f t="shared" si="22"/>
        <v>1269.4320839232455</v>
      </c>
      <c r="F285" s="10">
        <f t="shared" si="23"/>
        <v>149935.86649647431</v>
      </c>
      <c r="L285">
        <f>200</f>
        <v>200</v>
      </c>
    </row>
    <row r="286" spans="1:12" x14ac:dyDescent="0.2">
      <c r="A286" s="9">
        <v>272</v>
      </c>
      <c r="B286" s="5">
        <f t="shared" si="24"/>
        <v>149935.86649647431</v>
      </c>
      <c r="C286" s="3">
        <f t="shared" si="20"/>
        <v>2182.9640961798141</v>
      </c>
      <c r="D286" s="5">
        <f t="shared" si="21"/>
        <v>905.86252674953221</v>
      </c>
      <c r="E286" s="3">
        <f t="shared" si="22"/>
        <v>1277.1015694302819</v>
      </c>
      <c r="F286" s="10">
        <f t="shared" si="23"/>
        <v>148658.76492704402</v>
      </c>
      <c r="L286">
        <f>200</f>
        <v>200</v>
      </c>
    </row>
    <row r="287" spans="1:12" x14ac:dyDescent="0.2">
      <c r="A287" s="9">
        <v>273</v>
      </c>
      <c r="B287" s="5">
        <f t="shared" si="24"/>
        <v>148658.76492704402</v>
      </c>
      <c r="C287" s="3">
        <f t="shared" si="20"/>
        <v>2182.9640961798141</v>
      </c>
      <c r="D287" s="5">
        <f t="shared" si="21"/>
        <v>898.14670476755748</v>
      </c>
      <c r="E287" s="3">
        <f t="shared" si="22"/>
        <v>1284.8173914122567</v>
      </c>
      <c r="F287" s="10">
        <f t="shared" si="23"/>
        <v>147373.94753563177</v>
      </c>
      <c r="L287">
        <f>200</f>
        <v>200</v>
      </c>
    </row>
    <row r="288" spans="1:12" x14ac:dyDescent="0.2">
      <c r="A288" s="9">
        <v>274</v>
      </c>
      <c r="B288" s="5">
        <f t="shared" si="24"/>
        <v>147373.94753563177</v>
      </c>
      <c r="C288" s="3">
        <f t="shared" si="20"/>
        <v>2182.9640961798141</v>
      </c>
      <c r="D288" s="5">
        <f t="shared" si="21"/>
        <v>890.38426636110853</v>
      </c>
      <c r="E288" s="3">
        <f t="shared" si="22"/>
        <v>1292.5798298187055</v>
      </c>
      <c r="F288" s="10">
        <f t="shared" si="23"/>
        <v>146081.36770581306</v>
      </c>
      <c r="L288">
        <f>200</f>
        <v>200</v>
      </c>
    </row>
    <row r="289" spans="1:12" x14ac:dyDescent="0.2">
      <c r="A289" s="9">
        <v>275</v>
      </c>
      <c r="B289" s="5">
        <f t="shared" si="24"/>
        <v>146081.36770581306</v>
      </c>
      <c r="C289" s="3">
        <f t="shared" si="20"/>
        <v>2182.9640961798141</v>
      </c>
      <c r="D289" s="5">
        <f t="shared" si="21"/>
        <v>882.57492988928709</v>
      </c>
      <c r="E289" s="3">
        <f t="shared" si="22"/>
        <v>1300.3891662905271</v>
      </c>
      <c r="F289" s="10">
        <f t="shared" si="23"/>
        <v>144780.97853952253</v>
      </c>
      <c r="L289">
        <f>200</f>
        <v>200</v>
      </c>
    </row>
    <row r="290" spans="1:12" x14ac:dyDescent="0.2">
      <c r="A290" s="9">
        <v>276</v>
      </c>
      <c r="B290" s="5">
        <f t="shared" si="24"/>
        <v>144780.97853952253</v>
      </c>
      <c r="C290" s="3">
        <f t="shared" si="20"/>
        <v>2182.9640961798141</v>
      </c>
      <c r="D290" s="5">
        <f t="shared" si="21"/>
        <v>874.71841200961524</v>
      </c>
      <c r="E290" s="3">
        <f t="shared" si="22"/>
        <v>1308.2456841701987</v>
      </c>
      <c r="F290" s="10">
        <f t="shared" si="23"/>
        <v>143472.73285535234</v>
      </c>
      <c r="L290">
        <f>200</f>
        <v>200</v>
      </c>
    </row>
    <row r="291" spans="1:12" x14ac:dyDescent="0.2">
      <c r="A291" s="9">
        <v>277</v>
      </c>
      <c r="B291" s="5">
        <f t="shared" si="24"/>
        <v>143472.73285535234</v>
      </c>
      <c r="C291" s="3">
        <f t="shared" si="20"/>
        <v>2182.9640961798141</v>
      </c>
      <c r="D291" s="5">
        <f t="shared" si="21"/>
        <v>866.81442766775365</v>
      </c>
      <c r="E291" s="3">
        <f t="shared" si="22"/>
        <v>1316.1496685120605</v>
      </c>
      <c r="F291" s="10">
        <f t="shared" si="23"/>
        <v>142156.58318684029</v>
      </c>
      <c r="L291">
        <f>200</f>
        <v>200</v>
      </c>
    </row>
    <row r="292" spans="1:12" x14ac:dyDescent="0.2">
      <c r="A292" s="9">
        <v>278</v>
      </c>
      <c r="B292" s="5">
        <f t="shared" si="24"/>
        <v>142156.58318684029</v>
      </c>
      <c r="C292" s="3">
        <f t="shared" si="20"/>
        <v>2182.9640961798141</v>
      </c>
      <c r="D292" s="5">
        <f t="shared" si="21"/>
        <v>858.86269008715999</v>
      </c>
      <c r="E292" s="3">
        <f t="shared" si="22"/>
        <v>1324.1014060926541</v>
      </c>
      <c r="F292" s="10">
        <f t="shared" si="23"/>
        <v>140832.48178074762</v>
      </c>
      <c r="L292">
        <f>200</f>
        <v>200</v>
      </c>
    </row>
    <row r="293" spans="1:12" x14ac:dyDescent="0.2">
      <c r="A293" s="9">
        <v>279</v>
      </c>
      <c r="B293" s="5">
        <f t="shared" si="24"/>
        <v>140832.48178074762</v>
      </c>
      <c r="C293" s="3">
        <f t="shared" si="20"/>
        <v>2182.9640961798141</v>
      </c>
      <c r="D293" s="5">
        <f t="shared" si="21"/>
        <v>850.86291075868348</v>
      </c>
      <c r="E293" s="3">
        <f t="shared" si="22"/>
        <v>1332.1011854211306</v>
      </c>
      <c r="F293" s="10">
        <f t="shared" si="23"/>
        <v>139500.38059532648</v>
      </c>
      <c r="L293">
        <f>200</f>
        <v>200</v>
      </c>
    </row>
    <row r="294" spans="1:12" x14ac:dyDescent="0.2">
      <c r="A294" s="9">
        <v>280</v>
      </c>
      <c r="B294" s="5">
        <f t="shared" si="24"/>
        <v>139500.38059532648</v>
      </c>
      <c r="C294" s="3">
        <f t="shared" si="20"/>
        <v>2182.9640961798141</v>
      </c>
      <c r="D294" s="5">
        <f t="shared" si="21"/>
        <v>842.81479943009742</v>
      </c>
      <c r="E294" s="3">
        <f t="shared" si="22"/>
        <v>1340.1492967497165</v>
      </c>
      <c r="F294" s="10">
        <f t="shared" si="23"/>
        <v>138160.23129857678</v>
      </c>
      <c r="L294">
        <f>200</f>
        <v>200</v>
      </c>
    </row>
    <row r="295" spans="1:12" x14ac:dyDescent="0.2">
      <c r="A295" s="9">
        <v>281</v>
      </c>
      <c r="B295" s="5">
        <f t="shared" si="24"/>
        <v>138160.23129857678</v>
      </c>
      <c r="C295" s="3">
        <f t="shared" si="20"/>
        <v>2182.9640961798141</v>
      </c>
      <c r="D295" s="5">
        <f t="shared" si="21"/>
        <v>834.71806409556802</v>
      </c>
      <c r="E295" s="3">
        <f t="shared" si="22"/>
        <v>1348.2460320842461</v>
      </c>
      <c r="F295" s="10">
        <f t="shared" si="23"/>
        <v>136811.98526649253</v>
      </c>
      <c r="L295">
        <f>200</f>
        <v>200</v>
      </c>
    </row>
    <row r="296" spans="1:12" x14ac:dyDescent="0.2">
      <c r="A296" s="9">
        <v>282</v>
      </c>
      <c r="B296" s="5">
        <f t="shared" si="24"/>
        <v>136811.98526649253</v>
      </c>
      <c r="C296" s="3">
        <f t="shared" si="20"/>
        <v>2182.9640961798141</v>
      </c>
      <c r="D296" s="5">
        <f t="shared" si="21"/>
        <v>826.57241098505892</v>
      </c>
      <c r="E296" s="3">
        <f t="shared" si="22"/>
        <v>1356.3916851947552</v>
      </c>
      <c r="F296" s="10">
        <f t="shared" si="23"/>
        <v>135455.59358129778</v>
      </c>
      <c r="L296">
        <f>200</f>
        <v>200</v>
      </c>
    </row>
    <row r="297" spans="1:12" x14ac:dyDescent="0.2">
      <c r="A297" s="9">
        <v>283</v>
      </c>
      <c r="B297" s="5">
        <f t="shared" si="24"/>
        <v>135455.59358129778</v>
      </c>
      <c r="C297" s="3">
        <f t="shared" si="20"/>
        <v>2182.9640961798141</v>
      </c>
      <c r="D297" s="5">
        <f t="shared" si="21"/>
        <v>818.37754455367406</v>
      </c>
      <c r="E297" s="3">
        <f t="shared" si="22"/>
        <v>1364.5865516261401</v>
      </c>
      <c r="F297" s="10">
        <f t="shared" si="23"/>
        <v>134091.00702967163</v>
      </c>
      <c r="L297">
        <f>200</f>
        <v>200</v>
      </c>
    </row>
    <row r="298" spans="1:12" x14ac:dyDescent="0.2">
      <c r="A298" s="9">
        <v>284</v>
      </c>
      <c r="B298" s="5">
        <f t="shared" si="24"/>
        <v>134091.00702967163</v>
      </c>
      <c r="C298" s="3">
        <f t="shared" si="20"/>
        <v>2182.9640961798141</v>
      </c>
      <c r="D298" s="5">
        <f t="shared" si="21"/>
        <v>810.13316747093268</v>
      </c>
      <c r="E298" s="3">
        <f t="shared" si="22"/>
        <v>1372.8309287088814</v>
      </c>
      <c r="F298" s="10">
        <f t="shared" si="23"/>
        <v>132718.17610096274</v>
      </c>
      <c r="L298">
        <f>200</f>
        <v>200</v>
      </c>
    </row>
    <row r="299" spans="1:12" x14ac:dyDescent="0.2">
      <c r="A299" s="9">
        <v>285</v>
      </c>
      <c r="B299" s="5">
        <f t="shared" si="24"/>
        <v>132718.17610096274</v>
      </c>
      <c r="C299" s="3">
        <f t="shared" si="20"/>
        <v>2182.9640961798141</v>
      </c>
      <c r="D299" s="5">
        <f t="shared" si="21"/>
        <v>801.83898060998308</v>
      </c>
      <c r="E299" s="3">
        <f t="shared" si="22"/>
        <v>1381.125115569831</v>
      </c>
      <c r="F299" s="10">
        <f t="shared" si="23"/>
        <v>131337.05098539291</v>
      </c>
      <c r="L299">
        <f>200</f>
        <v>200</v>
      </c>
    </row>
    <row r="300" spans="1:12" x14ac:dyDescent="0.2">
      <c r="A300" s="9">
        <v>286</v>
      </c>
      <c r="B300" s="5">
        <f t="shared" si="24"/>
        <v>131337.05098539291</v>
      </c>
      <c r="C300" s="3">
        <f t="shared" si="20"/>
        <v>2182.9640961798141</v>
      </c>
      <c r="D300" s="5">
        <f t="shared" si="21"/>
        <v>793.49468303674882</v>
      </c>
      <c r="E300" s="3">
        <f t="shared" si="22"/>
        <v>1389.4694131430651</v>
      </c>
      <c r="F300" s="10">
        <f t="shared" si="23"/>
        <v>129947.58157224985</v>
      </c>
      <c r="L300">
        <f>200</f>
        <v>200</v>
      </c>
    </row>
    <row r="301" spans="1:12" x14ac:dyDescent="0.2">
      <c r="A301" s="9">
        <v>287</v>
      </c>
      <c r="B301" s="5">
        <f t="shared" si="24"/>
        <v>129947.58157224985</v>
      </c>
      <c r="C301" s="3">
        <f t="shared" si="20"/>
        <v>2182.9640961798141</v>
      </c>
      <c r="D301" s="5">
        <f t="shared" si="21"/>
        <v>785.09997199900954</v>
      </c>
      <c r="E301" s="3">
        <f t="shared" si="22"/>
        <v>1397.8641241808045</v>
      </c>
      <c r="F301" s="10">
        <f t="shared" si="23"/>
        <v>128549.71744806904</v>
      </c>
      <c r="L301">
        <f>200</f>
        <v>200</v>
      </c>
    </row>
    <row r="302" spans="1:12" x14ac:dyDescent="0.2">
      <c r="A302" s="9">
        <v>288</v>
      </c>
      <c r="B302" s="5">
        <f t="shared" si="24"/>
        <v>128549.71744806904</v>
      </c>
      <c r="C302" s="3">
        <f t="shared" si="20"/>
        <v>2182.9640961798141</v>
      </c>
      <c r="D302" s="5">
        <f t="shared" si="21"/>
        <v>776.6545429154171</v>
      </c>
      <c r="E302" s="3">
        <f t="shared" si="22"/>
        <v>1406.309553264397</v>
      </c>
      <c r="F302" s="10">
        <f t="shared" si="23"/>
        <v>127143.40789480465</v>
      </c>
      <c r="L302">
        <f>200</f>
        <v>200</v>
      </c>
    </row>
    <row r="303" spans="1:12" x14ac:dyDescent="0.2">
      <c r="A303" s="9">
        <v>289</v>
      </c>
      <c r="B303" s="5">
        <f t="shared" si="24"/>
        <v>127143.40789480465</v>
      </c>
      <c r="C303" s="3">
        <f t="shared" si="20"/>
        <v>2182.9640961798141</v>
      </c>
      <c r="D303" s="5">
        <f t="shared" si="21"/>
        <v>768.15808936444466</v>
      </c>
      <c r="E303" s="3">
        <f t="shared" si="22"/>
        <v>1414.8060068153695</v>
      </c>
      <c r="F303" s="10">
        <f t="shared" si="23"/>
        <v>125728.60188798928</v>
      </c>
      <c r="L303">
        <f>200</f>
        <v>200</v>
      </c>
    </row>
    <row r="304" spans="1:12" x14ac:dyDescent="0.2">
      <c r="A304" s="9">
        <v>290</v>
      </c>
      <c r="B304" s="5">
        <f t="shared" si="24"/>
        <v>125728.60188798928</v>
      </c>
      <c r="C304" s="3">
        <f t="shared" si="20"/>
        <v>2182.9640961798141</v>
      </c>
      <c r="D304" s="5">
        <f t="shared" si="21"/>
        <v>759.61030307326848</v>
      </c>
      <c r="E304" s="3">
        <f t="shared" si="22"/>
        <v>1423.3537931065457</v>
      </c>
      <c r="F304" s="10">
        <f t="shared" si="23"/>
        <v>124305.24809488273</v>
      </c>
      <c r="L304">
        <f>200</f>
        <v>200</v>
      </c>
    </row>
    <row r="305" spans="1:12" x14ac:dyDescent="0.2">
      <c r="A305" s="9">
        <v>291</v>
      </c>
      <c r="B305" s="5">
        <f t="shared" si="24"/>
        <v>124305.24809488273</v>
      </c>
      <c r="C305" s="3">
        <f t="shared" si="20"/>
        <v>2182.9640961798141</v>
      </c>
      <c r="D305" s="5">
        <f t="shared" si="21"/>
        <v>751.01087390658313</v>
      </c>
      <c r="E305" s="3">
        <f t="shared" si="22"/>
        <v>1431.9532222732309</v>
      </c>
      <c r="F305" s="10">
        <f t="shared" si="23"/>
        <v>122873.29487260949</v>
      </c>
      <c r="L305">
        <f>200</f>
        <v>200</v>
      </c>
    </row>
    <row r="306" spans="1:12" x14ac:dyDescent="0.2">
      <c r="A306" s="9">
        <v>292</v>
      </c>
      <c r="B306" s="5">
        <f t="shared" si="24"/>
        <v>122873.29487260949</v>
      </c>
      <c r="C306" s="3">
        <f t="shared" si="20"/>
        <v>2182.9640961798141</v>
      </c>
      <c r="D306" s="5">
        <f t="shared" si="21"/>
        <v>742.3594898553489</v>
      </c>
      <c r="E306" s="3">
        <f t="shared" si="22"/>
        <v>1440.6046063244653</v>
      </c>
      <c r="F306" s="10">
        <f t="shared" si="23"/>
        <v>121432.69026628502</v>
      </c>
      <c r="L306">
        <f>200</f>
        <v>200</v>
      </c>
    </row>
    <row r="307" spans="1:12" x14ac:dyDescent="0.2">
      <c r="A307" s="9">
        <v>293</v>
      </c>
      <c r="B307" s="5">
        <f t="shared" si="24"/>
        <v>121432.69026628502</v>
      </c>
      <c r="C307" s="3">
        <f t="shared" si="20"/>
        <v>2182.9640961798141</v>
      </c>
      <c r="D307" s="5">
        <f t="shared" si="21"/>
        <v>733.65583702547201</v>
      </c>
      <c r="E307" s="3">
        <f t="shared" si="22"/>
        <v>1449.3082591543421</v>
      </c>
      <c r="F307" s="10">
        <f t="shared" si="23"/>
        <v>119983.38200713068</v>
      </c>
      <c r="L307">
        <f>200</f>
        <v>200</v>
      </c>
    </row>
    <row r="308" spans="1:12" x14ac:dyDescent="0.2">
      <c r="A308" s="9">
        <v>294</v>
      </c>
      <c r="B308" s="5">
        <f t="shared" si="24"/>
        <v>119983.38200713068</v>
      </c>
      <c r="C308" s="3">
        <f t="shared" si="20"/>
        <v>2182.9640961798141</v>
      </c>
      <c r="D308" s="5">
        <f t="shared" si="21"/>
        <v>724.89959962641444</v>
      </c>
      <c r="E308" s="3">
        <f t="shared" si="22"/>
        <v>1458.0644965533997</v>
      </c>
      <c r="F308" s="10">
        <f t="shared" si="23"/>
        <v>118525.31751057728</v>
      </c>
      <c r="L308">
        <f>200</f>
        <v>200</v>
      </c>
    </row>
    <row r="309" spans="1:12" x14ac:dyDescent="0.2">
      <c r="A309" s="9">
        <v>295</v>
      </c>
      <c r="B309" s="5">
        <f t="shared" si="24"/>
        <v>118525.31751057728</v>
      </c>
      <c r="C309" s="3">
        <f t="shared" si="20"/>
        <v>2182.9640961798141</v>
      </c>
      <c r="D309" s="5">
        <f t="shared" si="21"/>
        <v>716.09045995973759</v>
      </c>
      <c r="E309" s="3">
        <f t="shared" si="22"/>
        <v>1466.8736362200766</v>
      </c>
      <c r="F309" s="10">
        <f t="shared" si="23"/>
        <v>117058.44387435721</v>
      </c>
      <c r="L309">
        <f>200</f>
        <v>200</v>
      </c>
    </row>
    <row r="310" spans="1:12" x14ac:dyDescent="0.2">
      <c r="A310" s="9">
        <v>296</v>
      </c>
      <c r="B310" s="5">
        <f t="shared" si="24"/>
        <v>117058.44387435721</v>
      </c>
      <c r="C310" s="3">
        <f t="shared" si="20"/>
        <v>2182.9640961798141</v>
      </c>
      <c r="D310" s="5">
        <f t="shared" si="21"/>
        <v>707.22809840757475</v>
      </c>
      <c r="E310" s="3">
        <f t="shared" si="22"/>
        <v>1475.7359977722394</v>
      </c>
      <c r="F310" s="10">
        <f t="shared" si="23"/>
        <v>115582.70787658497</v>
      </c>
      <c r="L310">
        <f>200</f>
        <v>200</v>
      </c>
    </row>
    <row r="311" spans="1:12" x14ac:dyDescent="0.2">
      <c r="A311" s="9">
        <v>297</v>
      </c>
      <c r="B311" s="5">
        <f t="shared" si="24"/>
        <v>115582.70787658497</v>
      </c>
      <c r="C311" s="3">
        <f t="shared" si="20"/>
        <v>2182.9640961798141</v>
      </c>
      <c r="D311" s="5">
        <f t="shared" si="21"/>
        <v>698.31219342103407</v>
      </c>
      <c r="E311" s="3">
        <f t="shared" si="22"/>
        <v>1484.6519027587801</v>
      </c>
      <c r="F311" s="10">
        <f t="shared" si="23"/>
        <v>114098.05597382619</v>
      </c>
      <c r="L311">
        <f>200</f>
        <v>200</v>
      </c>
    </row>
    <row r="312" spans="1:12" x14ac:dyDescent="0.2">
      <c r="A312" s="9">
        <v>298</v>
      </c>
      <c r="B312" s="5">
        <f t="shared" si="24"/>
        <v>114098.05597382619</v>
      </c>
      <c r="C312" s="3">
        <f t="shared" si="20"/>
        <v>2182.9640961798141</v>
      </c>
      <c r="D312" s="5">
        <f t="shared" si="21"/>
        <v>689.34242150853322</v>
      </c>
      <c r="E312" s="3">
        <f t="shared" si="22"/>
        <v>1493.6216746712807</v>
      </c>
      <c r="F312" s="10">
        <f t="shared" si="23"/>
        <v>112604.43429915492</v>
      </c>
      <c r="L312">
        <f>200</f>
        <v>200</v>
      </c>
    </row>
    <row r="313" spans="1:12" x14ac:dyDescent="0.2">
      <c r="A313" s="9">
        <v>299</v>
      </c>
      <c r="B313" s="5">
        <f t="shared" si="24"/>
        <v>112604.43429915492</v>
      </c>
      <c r="C313" s="3">
        <f t="shared" si="20"/>
        <v>2182.9640961798141</v>
      </c>
      <c r="D313" s="5">
        <f t="shared" si="21"/>
        <v>680.31845722406092</v>
      </c>
      <c r="E313" s="3">
        <f t="shared" si="22"/>
        <v>1502.6456389557532</v>
      </c>
      <c r="F313" s="10">
        <f t="shared" si="23"/>
        <v>111101.78866019916</v>
      </c>
      <c r="L313">
        <f>200</f>
        <v>200</v>
      </c>
    </row>
    <row r="314" spans="1:12" x14ac:dyDescent="0.2">
      <c r="A314" s="9">
        <v>300</v>
      </c>
      <c r="B314" s="5">
        <f t="shared" si="24"/>
        <v>111101.78866019916</v>
      </c>
      <c r="C314" s="3">
        <f t="shared" si="20"/>
        <v>2182.9640961798141</v>
      </c>
      <c r="D314" s="5">
        <f t="shared" si="21"/>
        <v>671.23997315536997</v>
      </c>
      <c r="E314" s="3">
        <f t="shared" si="22"/>
        <v>1511.724123024444</v>
      </c>
      <c r="F314" s="10">
        <f t="shared" si="23"/>
        <v>109590.06453717472</v>
      </c>
      <c r="L314">
        <f>200</f>
        <v>200</v>
      </c>
    </row>
    <row r="315" spans="1:12" x14ac:dyDescent="0.2">
      <c r="A315" s="9">
        <v>301</v>
      </c>
      <c r="B315" s="5">
        <f t="shared" si="24"/>
        <v>109590.06453717472</v>
      </c>
      <c r="C315" s="3">
        <f t="shared" si="20"/>
        <v>2182.9640961798141</v>
      </c>
      <c r="D315" s="5">
        <f t="shared" si="21"/>
        <v>662.10663991209719</v>
      </c>
      <c r="E315" s="3">
        <f t="shared" si="22"/>
        <v>1520.8574562677168</v>
      </c>
      <c r="F315" s="10">
        <f t="shared" si="23"/>
        <v>108069.20708090701</v>
      </c>
      <c r="L315">
        <f>200</f>
        <v>200</v>
      </c>
    </row>
    <row r="316" spans="1:12" x14ac:dyDescent="0.2">
      <c r="A316" s="9">
        <v>302</v>
      </c>
      <c r="B316" s="5">
        <f t="shared" si="24"/>
        <v>108069.20708090701</v>
      </c>
      <c r="C316" s="3">
        <f t="shared" si="20"/>
        <v>2182.9640961798141</v>
      </c>
      <c r="D316" s="5">
        <f t="shared" si="21"/>
        <v>652.91812611381317</v>
      </c>
      <c r="E316" s="3">
        <f t="shared" si="22"/>
        <v>1530.0459700660008</v>
      </c>
      <c r="F316" s="10">
        <f t="shared" si="23"/>
        <v>106539.16111084101</v>
      </c>
      <c r="L316">
        <f>200</f>
        <v>200</v>
      </c>
    </row>
    <row r="317" spans="1:12" x14ac:dyDescent="0.2">
      <c r="A317" s="9">
        <v>303</v>
      </c>
      <c r="B317" s="5">
        <f t="shared" si="24"/>
        <v>106539.16111084101</v>
      </c>
      <c r="C317" s="3">
        <f t="shared" si="20"/>
        <v>2182.9640961798141</v>
      </c>
      <c r="D317" s="5">
        <f t="shared" si="21"/>
        <v>643.67409837799778</v>
      </c>
      <c r="E317" s="3">
        <f t="shared" si="22"/>
        <v>1539.2899978018163</v>
      </c>
      <c r="F317" s="10">
        <f t="shared" si="23"/>
        <v>104999.8711130392</v>
      </c>
      <c r="L317">
        <f>200</f>
        <v>200</v>
      </c>
    </row>
    <row r="318" spans="1:12" x14ac:dyDescent="0.2">
      <c r="A318" s="9">
        <v>304</v>
      </c>
      <c r="B318" s="5">
        <f t="shared" si="24"/>
        <v>104999.8711130392</v>
      </c>
      <c r="C318" s="3">
        <f t="shared" si="20"/>
        <v>2182.9640961798141</v>
      </c>
      <c r="D318" s="5">
        <f t="shared" si="21"/>
        <v>634.37422130794516</v>
      </c>
      <c r="E318" s="3">
        <f t="shared" si="22"/>
        <v>1548.5898748718689</v>
      </c>
      <c r="F318" s="10">
        <f t="shared" si="23"/>
        <v>103451.28123816733</v>
      </c>
      <c r="L318">
        <f>200</f>
        <v>200</v>
      </c>
    </row>
    <row r="319" spans="1:12" x14ac:dyDescent="0.2">
      <c r="A319" s="9">
        <v>305</v>
      </c>
      <c r="B319" s="5">
        <f t="shared" si="24"/>
        <v>103451.28123816733</v>
      </c>
      <c r="C319" s="3">
        <f t="shared" si="20"/>
        <v>2182.9640961798141</v>
      </c>
      <c r="D319" s="5">
        <f t="shared" si="21"/>
        <v>625.01815748059425</v>
      </c>
      <c r="E319" s="3">
        <f t="shared" si="22"/>
        <v>1557.9459386992198</v>
      </c>
      <c r="F319" s="10">
        <f t="shared" si="23"/>
        <v>101893.3352994681</v>
      </c>
      <c r="L319">
        <f>200</f>
        <v>200</v>
      </c>
    </row>
    <row r="320" spans="1:12" x14ac:dyDescent="0.2">
      <c r="A320" s="9">
        <v>306</v>
      </c>
      <c r="B320" s="5">
        <f t="shared" si="24"/>
        <v>101893.3352994681</v>
      </c>
      <c r="C320" s="3">
        <f t="shared" si="20"/>
        <v>2182.9640961798141</v>
      </c>
      <c r="D320" s="5">
        <f t="shared" si="21"/>
        <v>615.6055674342864</v>
      </c>
      <c r="E320" s="3">
        <f t="shared" si="22"/>
        <v>1567.3585287455276</v>
      </c>
      <c r="F320" s="10">
        <f t="shared" si="23"/>
        <v>100325.97677072258</v>
      </c>
      <c r="L320">
        <f>200</f>
        <v>200</v>
      </c>
    </row>
    <row r="321" spans="1:12" x14ac:dyDescent="0.2">
      <c r="A321" s="9">
        <v>307</v>
      </c>
      <c r="B321" s="5">
        <f t="shared" si="24"/>
        <v>100325.97677072258</v>
      </c>
      <c r="C321" s="3">
        <f t="shared" si="20"/>
        <v>2182.9640961798141</v>
      </c>
      <c r="D321" s="5">
        <f t="shared" si="21"/>
        <v>606.13610965644887</v>
      </c>
      <c r="E321" s="3">
        <f t="shared" si="22"/>
        <v>1576.8279865233653</v>
      </c>
      <c r="F321" s="10">
        <f t="shared" si="23"/>
        <v>98749.14878419922</v>
      </c>
      <c r="L321">
        <f>200</f>
        <v>200</v>
      </c>
    </row>
    <row r="322" spans="1:12" x14ac:dyDescent="0.2">
      <c r="A322" s="9">
        <v>308</v>
      </c>
      <c r="B322" s="5">
        <f t="shared" si="24"/>
        <v>98749.14878419922</v>
      </c>
      <c r="C322" s="3">
        <f t="shared" si="20"/>
        <v>2182.9640961798141</v>
      </c>
      <c r="D322" s="5">
        <f t="shared" si="21"/>
        <v>596.60944057120355</v>
      </c>
      <c r="E322" s="3">
        <f t="shared" si="22"/>
        <v>1586.3546556086105</v>
      </c>
      <c r="F322" s="10">
        <f t="shared" si="23"/>
        <v>97162.794128590613</v>
      </c>
      <c r="L322">
        <f>200</f>
        <v>200</v>
      </c>
    </row>
    <row r="323" spans="1:12" x14ac:dyDescent="0.2">
      <c r="A323" s="9">
        <v>309</v>
      </c>
      <c r="B323" s="5">
        <f t="shared" si="24"/>
        <v>97162.794128590613</v>
      </c>
      <c r="C323" s="3">
        <f t="shared" si="20"/>
        <v>2182.9640961798141</v>
      </c>
      <c r="D323" s="5">
        <f t="shared" si="21"/>
        <v>587.02521452690155</v>
      </c>
      <c r="E323" s="3">
        <f t="shared" si="22"/>
        <v>1595.9388816529126</v>
      </c>
      <c r="F323" s="10">
        <f t="shared" si="23"/>
        <v>95566.855246937703</v>
      </c>
      <c r="L323">
        <f>200</f>
        <v>200</v>
      </c>
    </row>
    <row r="324" spans="1:12" x14ac:dyDescent="0.2">
      <c r="A324" s="9">
        <v>310</v>
      </c>
      <c r="B324" s="5">
        <f t="shared" si="24"/>
        <v>95566.855246937703</v>
      </c>
      <c r="C324" s="3">
        <f t="shared" si="20"/>
        <v>2182.9640961798141</v>
      </c>
      <c r="D324" s="5">
        <f t="shared" si="21"/>
        <v>577.38308378358192</v>
      </c>
      <c r="E324" s="3">
        <f t="shared" si="22"/>
        <v>1605.5810123962322</v>
      </c>
      <c r="F324" s="10">
        <f t="shared" si="23"/>
        <v>93961.274234541474</v>
      </c>
      <c r="L324">
        <f>200</f>
        <v>200</v>
      </c>
    </row>
    <row r="325" spans="1:12" x14ac:dyDescent="0.2">
      <c r="A325" s="9">
        <v>311</v>
      </c>
      <c r="B325" s="5">
        <f t="shared" si="24"/>
        <v>93961.274234541474</v>
      </c>
      <c r="C325" s="3">
        <f t="shared" si="20"/>
        <v>2182.9640961798141</v>
      </c>
      <c r="D325" s="5">
        <f t="shared" si="21"/>
        <v>567.68269850035472</v>
      </c>
      <c r="E325" s="3">
        <f t="shared" si="22"/>
        <v>1615.2813976794594</v>
      </c>
      <c r="F325" s="10">
        <f t="shared" si="23"/>
        <v>92345.992836862017</v>
      </c>
      <c r="L325">
        <f>200</f>
        <v>200</v>
      </c>
    </row>
    <row r="326" spans="1:12" x14ac:dyDescent="0.2">
      <c r="A326" s="9">
        <v>312</v>
      </c>
      <c r="B326" s="5">
        <f t="shared" si="24"/>
        <v>92345.992836862017</v>
      </c>
      <c r="C326" s="3">
        <f t="shared" si="20"/>
        <v>2182.9640961798141</v>
      </c>
      <c r="D326" s="5">
        <f t="shared" si="21"/>
        <v>557.92370672270795</v>
      </c>
      <c r="E326" s="3">
        <f t="shared" si="22"/>
        <v>1625.0403894571061</v>
      </c>
      <c r="F326" s="10">
        <f t="shared" si="23"/>
        <v>90720.95244740491</v>
      </c>
      <c r="L326">
        <f>200</f>
        <v>200</v>
      </c>
    </row>
    <row r="327" spans="1:12" x14ac:dyDescent="0.2">
      <c r="A327" s="9">
        <v>313</v>
      </c>
      <c r="B327" s="5">
        <f t="shared" si="24"/>
        <v>90720.95244740491</v>
      </c>
      <c r="C327" s="3">
        <f t="shared" si="20"/>
        <v>2182.9640961798141</v>
      </c>
      <c r="D327" s="5">
        <f t="shared" si="21"/>
        <v>548.10575436973795</v>
      </c>
      <c r="E327" s="3">
        <f t="shared" si="22"/>
        <v>1634.8583418100761</v>
      </c>
      <c r="F327" s="10">
        <f t="shared" si="23"/>
        <v>89086.094105594835</v>
      </c>
      <c r="L327">
        <f>200</f>
        <v>200</v>
      </c>
    </row>
    <row r="328" spans="1:12" x14ac:dyDescent="0.2">
      <c r="A328" s="9">
        <v>314</v>
      </c>
      <c r="B328" s="5">
        <f t="shared" si="24"/>
        <v>89086.094105594835</v>
      </c>
      <c r="C328" s="3">
        <f t="shared" si="20"/>
        <v>2182.9640961798141</v>
      </c>
      <c r="D328" s="5">
        <f t="shared" si="21"/>
        <v>538.22848522130209</v>
      </c>
      <c r="E328" s="3">
        <f t="shared" si="22"/>
        <v>1644.7356109585121</v>
      </c>
      <c r="F328" s="10">
        <f t="shared" si="23"/>
        <v>87441.358494636326</v>
      </c>
      <c r="L328">
        <f>200</f>
        <v>200</v>
      </c>
    </row>
    <row r="329" spans="1:12" x14ac:dyDescent="0.2">
      <c r="A329" s="9">
        <v>315</v>
      </c>
      <c r="B329" s="5">
        <f t="shared" si="24"/>
        <v>87441.358494636326</v>
      </c>
      <c r="C329" s="3">
        <f t="shared" si="20"/>
        <v>2182.9640961798141</v>
      </c>
      <c r="D329" s="5">
        <f t="shared" si="21"/>
        <v>528.29154090509439</v>
      </c>
      <c r="E329" s="3">
        <f t="shared" si="22"/>
        <v>1654.6725552747198</v>
      </c>
      <c r="F329" s="10">
        <f t="shared" si="23"/>
        <v>85786.685939361603</v>
      </c>
      <c r="L329">
        <f>200</f>
        <v>200</v>
      </c>
    </row>
    <row r="330" spans="1:12" x14ac:dyDescent="0.2">
      <c r="A330" s="9">
        <v>316</v>
      </c>
      <c r="B330" s="5">
        <f t="shared" si="24"/>
        <v>85786.685939361603</v>
      </c>
      <c r="C330" s="3">
        <f t="shared" si="20"/>
        <v>2182.9640961798141</v>
      </c>
      <c r="D330" s="5">
        <f t="shared" si="21"/>
        <v>518.29456088364293</v>
      </c>
      <c r="E330" s="3">
        <f t="shared" si="22"/>
        <v>1664.669535296171</v>
      </c>
      <c r="F330" s="10">
        <f t="shared" si="23"/>
        <v>84122.016404065434</v>
      </c>
      <c r="L330">
        <f>200</f>
        <v>200</v>
      </c>
    </row>
    <row r="331" spans="1:12" x14ac:dyDescent="0.2">
      <c r="A331" s="9">
        <v>317</v>
      </c>
      <c r="B331" s="5">
        <f t="shared" si="24"/>
        <v>84122.016404065434</v>
      </c>
      <c r="C331" s="3">
        <f t="shared" si="20"/>
        <v>2182.9640961798141</v>
      </c>
      <c r="D331" s="5">
        <f t="shared" si="21"/>
        <v>508.23718244122864</v>
      </c>
      <c r="E331" s="3">
        <f t="shared" si="22"/>
        <v>1674.7269137385854</v>
      </c>
      <c r="F331" s="10">
        <f t="shared" si="23"/>
        <v>82447.289490326846</v>
      </c>
      <c r="L331">
        <f>200</f>
        <v>200</v>
      </c>
    </row>
    <row r="332" spans="1:12" x14ac:dyDescent="0.2">
      <c r="A332" s="9">
        <v>318</v>
      </c>
      <c r="B332" s="5">
        <f t="shared" si="24"/>
        <v>82447.289490326846</v>
      </c>
      <c r="C332" s="3">
        <f t="shared" si="20"/>
        <v>2182.9640961798141</v>
      </c>
      <c r="D332" s="5">
        <f t="shared" si="21"/>
        <v>498.11904067072464</v>
      </c>
      <c r="E332" s="3">
        <f t="shared" si="22"/>
        <v>1684.8450555090894</v>
      </c>
      <c r="F332" s="10">
        <f t="shared" si="23"/>
        <v>80762.444434817764</v>
      </c>
      <c r="L332">
        <f>200</f>
        <v>200</v>
      </c>
    </row>
    <row r="333" spans="1:12" x14ac:dyDescent="0.2">
      <c r="A333" s="9">
        <v>319</v>
      </c>
      <c r="B333" s="5">
        <f t="shared" si="24"/>
        <v>80762.444434817764</v>
      </c>
      <c r="C333" s="3">
        <f t="shared" si="20"/>
        <v>2182.9640961798141</v>
      </c>
      <c r="D333" s="5">
        <f t="shared" si="21"/>
        <v>487.9397684603573</v>
      </c>
      <c r="E333" s="3">
        <f t="shared" si="22"/>
        <v>1695.0243277194568</v>
      </c>
      <c r="F333" s="10">
        <f t="shared" si="23"/>
        <v>79067.420107098311</v>
      </c>
      <c r="L333">
        <f>200</f>
        <v>200</v>
      </c>
    </row>
    <row r="334" spans="1:12" x14ac:dyDescent="0.2">
      <c r="A334" s="9">
        <v>320</v>
      </c>
      <c r="B334" s="5">
        <f t="shared" si="24"/>
        <v>79067.420107098311</v>
      </c>
      <c r="C334" s="3">
        <f t="shared" si="20"/>
        <v>2182.9640961798141</v>
      </c>
      <c r="D334" s="5">
        <f t="shared" si="21"/>
        <v>477.69899648038563</v>
      </c>
      <c r="E334" s="3">
        <f t="shared" si="22"/>
        <v>1705.2650996994284</v>
      </c>
      <c r="F334" s="10">
        <f t="shared" si="23"/>
        <v>77362.155007398876</v>
      </c>
      <c r="L334">
        <f>200</f>
        <v>200</v>
      </c>
    </row>
    <row r="335" spans="1:12" x14ac:dyDescent="0.2">
      <c r="A335" s="9">
        <v>321</v>
      </c>
      <c r="B335" s="5">
        <f t="shared" si="24"/>
        <v>77362.155007398876</v>
      </c>
      <c r="C335" s="3">
        <f t="shared" si="20"/>
        <v>2182.9640961798141</v>
      </c>
      <c r="D335" s="5">
        <f t="shared" si="21"/>
        <v>467.39635316970151</v>
      </c>
      <c r="E335" s="3">
        <f t="shared" si="22"/>
        <v>1715.5677430101125</v>
      </c>
      <c r="F335" s="10">
        <f t="shared" si="23"/>
        <v>75646.587264388771</v>
      </c>
      <c r="L335">
        <f>200</f>
        <v>200</v>
      </c>
    </row>
    <row r="336" spans="1:12" x14ac:dyDescent="0.2">
      <c r="A336" s="9">
        <v>322</v>
      </c>
      <c r="B336" s="5">
        <f t="shared" si="24"/>
        <v>75646.587264388771</v>
      </c>
      <c r="C336" s="3">
        <f t="shared" ref="C336:C374" si="25">$B$12</f>
        <v>2182.9640961798141</v>
      </c>
      <c r="D336" s="5">
        <f t="shared" ref="D336:D374" si="26">B336*$B$9/12</f>
        <v>457.0314647223488</v>
      </c>
      <c r="E336" s="3">
        <f t="shared" ref="E336:E374" si="27">C336-D336</f>
        <v>1725.9326314574653</v>
      </c>
      <c r="F336" s="10">
        <f t="shared" ref="F336:F374" si="28">B336-E336</f>
        <v>73920.654632931299</v>
      </c>
      <c r="L336">
        <f>200</f>
        <v>200</v>
      </c>
    </row>
    <row r="337" spans="1:12" x14ac:dyDescent="0.2">
      <c r="A337" s="9">
        <v>323</v>
      </c>
      <c r="B337" s="5">
        <f t="shared" ref="B337:B374" si="29">F336</f>
        <v>73920.654632931299</v>
      </c>
      <c r="C337" s="3">
        <f t="shared" si="25"/>
        <v>2182.9640961798141</v>
      </c>
      <c r="D337" s="5">
        <f t="shared" si="26"/>
        <v>446.60395507395992</v>
      </c>
      <c r="E337" s="3">
        <f t="shared" si="27"/>
        <v>1736.3601411058542</v>
      </c>
      <c r="F337" s="10">
        <f t="shared" si="28"/>
        <v>72184.294491825451</v>
      </c>
      <c r="L337">
        <f>200</f>
        <v>200</v>
      </c>
    </row>
    <row r="338" spans="1:12" x14ac:dyDescent="0.2">
      <c r="A338" s="9">
        <v>324</v>
      </c>
      <c r="B338" s="5">
        <f t="shared" si="29"/>
        <v>72184.294491825451</v>
      </c>
      <c r="C338" s="3">
        <f t="shared" si="25"/>
        <v>2182.9640961798141</v>
      </c>
      <c r="D338" s="5">
        <f t="shared" si="26"/>
        <v>436.11344588811204</v>
      </c>
      <c r="E338" s="3">
        <f t="shared" si="27"/>
        <v>1746.8506502917021</v>
      </c>
      <c r="F338" s="10">
        <f t="shared" si="28"/>
        <v>70437.44384153375</v>
      </c>
      <c r="L338">
        <f>200</f>
        <v>200</v>
      </c>
    </row>
    <row r="339" spans="1:12" x14ac:dyDescent="0.2">
      <c r="A339" s="9">
        <v>325</v>
      </c>
      <c r="B339" s="5">
        <f t="shared" si="29"/>
        <v>70437.44384153375</v>
      </c>
      <c r="C339" s="3">
        <f t="shared" si="25"/>
        <v>2182.9640961798141</v>
      </c>
      <c r="D339" s="5">
        <f t="shared" si="26"/>
        <v>425.55955654259969</v>
      </c>
      <c r="E339" s="3">
        <f t="shared" si="27"/>
        <v>1757.4045396372144</v>
      </c>
      <c r="F339" s="10">
        <f t="shared" si="28"/>
        <v>68680.039301896541</v>
      </c>
      <c r="L339">
        <f>200</f>
        <v>200</v>
      </c>
    </row>
    <row r="340" spans="1:12" x14ac:dyDescent="0.2">
      <c r="A340" s="9">
        <v>326</v>
      </c>
      <c r="B340" s="5">
        <f t="shared" si="29"/>
        <v>68680.039301896541</v>
      </c>
      <c r="C340" s="3">
        <f t="shared" si="25"/>
        <v>2182.9640961798141</v>
      </c>
      <c r="D340" s="5">
        <f t="shared" si="26"/>
        <v>414.94190411562494</v>
      </c>
      <c r="E340" s="3">
        <f t="shared" si="27"/>
        <v>1768.0221920641891</v>
      </c>
      <c r="F340" s="10">
        <f t="shared" si="28"/>
        <v>66912.017109832348</v>
      </c>
      <c r="L340">
        <f>200</f>
        <v>200</v>
      </c>
    </row>
    <row r="341" spans="1:12" x14ac:dyDescent="0.2">
      <c r="A341" s="9">
        <v>327</v>
      </c>
      <c r="B341" s="5">
        <f t="shared" si="29"/>
        <v>66912.017109832348</v>
      </c>
      <c r="C341" s="3">
        <f t="shared" si="25"/>
        <v>2182.9640961798141</v>
      </c>
      <c r="D341" s="5">
        <f t="shared" si="26"/>
        <v>404.26010337190377</v>
      </c>
      <c r="E341" s="3">
        <f t="shared" si="27"/>
        <v>1778.7039928079103</v>
      </c>
      <c r="F341" s="10">
        <f t="shared" si="28"/>
        <v>65133.313117024438</v>
      </c>
      <c r="L341">
        <f>200</f>
        <v>200</v>
      </c>
    </row>
    <row r="342" spans="1:12" x14ac:dyDescent="0.2">
      <c r="A342" s="9">
        <v>328</v>
      </c>
      <c r="B342" s="5">
        <f t="shared" si="29"/>
        <v>65133.313117024438</v>
      </c>
      <c r="C342" s="3">
        <f t="shared" si="25"/>
        <v>2182.9640961798141</v>
      </c>
      <c r="D342" s="5">
        <f t="shared" si="26"/>
        <v>393.51376674868925</v>
      </c>
      <c r="E342" s="3">
        <f t="shared" si="27"/>
        <v>1789.4503294311248</v>
      </c>
      <c r="F342" s="10">
        <f t="shared" si="28"/>
        <v>63343.862787593316</v>
      </c>
      <c r="L342">
        <f>200</f>
        <v>200</v>
      </c>
    </row>
    <row r="343" spans="1:12" x14ac:dyDescent="0.2">
      <c r="A343" s="9">
        <v>329</v>
      </c>
      <c r="B343" s="5">
        <f t="shared" si="29"/>
        <v>63343.862787593316</v>
      </c>
      <c r="C343" s="3">
        <f t="shared" si="25"/>
        <v>2182.9640961798141</v>
      </c>
      <c r="D343" s="5">
        <f t="shared" si="26"/>
        <v>382.70250434170958</v>
      </c>
      <c r="E343" s="3">
        <f t="shared" si="27"/>
        <v>1800.2615918381046</v>
      </c>
      <c r="F343" s="10">
        <f t="shared" si="28"/>
        <v>61543.601195755211</v>
      </c>
      <c r="L343">
        <f>200</f>
        <v>200</v>
      </c>
    </row>
    <row r="344" spans="1:12" x14ac:dyDescent="0.2">
      <c r="A344" s="9">
        <v>330</v>
      </c>
      <c r="B344" s="5">
        <f t="shared" si="29"/>
        <v>61543.601195755211</v>
      </c>
      <c r="C344" s="3">
        <f t="shared" si="25"/>
        <v>2182.9640961798141</v>
      </c>
      <c r="D344" s="5">
        <f t="shared" si="26"/>
        <v>371.82592389102109</v>
      </c>
      <c r="E344" s="3">
        <f t="shared" si="27"/>
        <v>1811.1381722887929</v>
      </c>
      <c r="F344" s="10">
        <f t="shared" si="28"/>
        <v>59732.463023466415</v>
      </c>
      <c r="L344">
        <f>200</f>
        <v>200</v>
      </c>
    </row>
    <row r="345" spans="1:12" x14ac:dyDescent="0.2">
      <c r="A345" s="9">
        <v>331</v>
      </c>
      <c r="B345" s="5">
        <f t="shared" si="29"/>
        <v>59732.463023466415</v>
      </c>
      <c r="C345" s="3">
        <f t="shared" si="25"/>
        <v>2182.9640961798141</v>
      </c>
      <c r="D345" s="5">
        <f t="shared" si="26"/>
        <v>360.88363076677621</v>
      </c>
      <c r="E345" s="3">
        <f t="shared" si="27"/>
        <v>1822.0804654130379</v>
      </c>
      <c r="F345" s="10">
        <f t="shared" si="28"/>
        <v>57910.382558053374</v>
      </c>
      <c r="L345">
        <f>200</f>
        <v>200</v>
      </c>
    </row>
    <row r="346" spans="1:12" x14ac:dyDescent="0.2">
      <c r="A346" s="9">
        <v>332</v>
      </c>
      <c r="B346" s="5">
        <f t="shared" si="29"/>
        <v>57910.382558053374</v>
      </c>
      <c r="C346" s="3">
        <f t="shared" si="25"/>
        <v>2182.9640961798141</v>
      </c>
      <c r="D346" s="5">
        <f t="shared" si="26"/>
        <v>349.87522795490577</v>
      </c>
      <c r="E346" s="3">
        <f t="shared" si="27"/>
        <v>1833.0888682249083</v>
      </c>
      <c r="F346" s="10">
        <f t="shared" si="28"/>
        <v>56077.293689828468</v>
      </c>
      <c r="L346">
        <f>200</f>
        <v>200</v>
      </c>
    </row>
    <row r="347" spans="1:12" x14ac:dyDescent="0.2">
      <c r="A347" s="9">
        <v>333</v>
      </c>
      <c r="B347" s="5">
        <f t="shared" si="29"/>
        <v>56077.293689828468</v>
      </c>
      <c r="C347" s="3">
        <f t="shared" si="25"/>
        <v>2182.9640961798141</v>
      </c>
      <c r="D347" s="5">
        <f t="shared" si="26"/>
        <v>338.80031604271363</v>
      </c>
      <c r="E347" s="3">
        <f t="shared" si="27"/>
        <v>1844.1637801371005</v>
      </c>
      <c r="F347" s="10">
        <f t="shared" si="28"/>
        <v>54233.129909691364</v>
      </c>
      <c r="L347">
        <f>200</f>
        <v>200</v>
      </c>
    </row>
    <row r="348" spans="1:12" x14ac:dyDescent="0.2">
      <c r="A348" s="9">
        <v>334</v>
      </c>
      <c r="B348" s="5">
        <f t="shared" si="29"/>
        <v>54233.129909691364</v>
      </c>
      <c r="C348" s="3">
        <f t="shared" si="25"/>
        <v>2182.9640961798141</v>
      </c>
      <c r="D348" s="5">
        <f t="shared" si="26"/>
        <v>327.65849320438531</v>
      </c>
      <c r="E348" s="3">
        <f t="shared" si="27"/>
        <v>1855.3056029754289</v>
      </c>
      <c r="F348" s="10">
        <f t="shared" si="28"/>
        <v>52377.824306715935</v>
      </c>
      <c r="L348">
        <f>200</f>
        <v>200</v>
      </c>
    </row>
    <row r="349" spans="1:12" x14ac:dyDescent="0.2">
      <c r="A349" s="9">
        <v>335</v>
      </c>
      <c r="B349" s="5">
        <f t="shared" si="29"/>
        <v>52377.824306715935</v>
      </c>
      <c r="C349" s="3">
        <f t="shared" si="25"/>
        <v>2182.9640961798141</v>
      </c>
      <c r="D349" s="5">
        <f t="shared" si="26"/>
        <v>316.44935518640875</v>
      </c>
      <c r="E349" s="3">
        <f t="shared" si="27"/>
        <v>1866.5147409934052</v>
      </c>
      <c r="F349" s="10">
        <f t="shared" si="28"/>
        <v>50511.309565722528</v>
      </c>
      <c r="L349">
        <f>200</f>
        <v>200</v>
      </c>
    </row>
    <row r="350" spans="1:12" x14ac:dyDescent="0.2">
      <c r="A350" s="9">
        <v>336</v>
      </c>
      <c r="B350" s="5">
        <f t="shared" si="29"/>
        <v>50511.309565722528</v>
      </c>
      <c r="C350" s="3">
        <f t="shared" si="25"/>
        <v>2182.9640961798141</v>
      </c>
      <c r="D350" s="5">
        <f t="shared" si="26"/>
        <v>305.17249529290694</v>
      </c>
      <c r="E350" s="3">
        <f t="shared" si="27"/>
        <v>1877.7916008869072</v>
      </c>
      <c r="F350" s="10">
        <f t="shared" si="28"/>
        <v>48633.517964835621</v>
      </c>
      <c r="L350">
        <f>200</f>
        <v>200</v>
      </c>
    </row>
    <row r="351" spans="1:12" x14ac:dyDescent="0.2">
      <c r="A351" s="9">
        <v>337</v>
      </c>
      <c r="B351" s="5">
        <f t="shared" si="29"/>
        <v>48633.517964835621</v>
      </c>
      <c r="C351" s="3">
        <f t="shared" si="25"/>
        <v>2182.9640961798141</v>
      </c>
      <c r="D351" s="5">
        <f t="shared" si="26"/>
        <v>293.82750437088185</v>
      </c>
      <c r="E351" s="3">
        <f t="shared" si="27"/>
        <v>1889.1365918089323</v>
      </c>
      <c r="F351" s="10">
        <f t="shared" si="28"/>
        <v>46744.381373026685</v>
      </c>
      <c r="L351">
        <f>200</f>
        <v>200</v>
      </c>
    </row>
    <row r="352" spans="1:12" x14ac:dyDescent="0.2">
      <c r="A352" s="9">
        <v>338</v>
      </c>
      <c r="B352" s="5">
        <f t="shared" si="29"/>
        <v>46744.381373026685</v>
      </c>
      <c r="C352" s="3">
        <f t="shared" si="25"/>
        <v>2182.9640961798141</v>
      </c>
      <c r="D352" s="5">
        <f t="shared" si="26"/>
        <v>282.41397079536955</v>
      </c>
      <c r="E352" s="3">
        <f t="shared" si="27"/>
        <v>1900.5501253844445</v>
      </c>
      <c r="F352" s="10">
        <f t="shared" si="28"/>
        <v>44843.831247642243</v>
      </c>
      <c r="L352">
        <f>200</f>
        <v>200</v>
      </c>
    </row>
    <row r="353" spans="1:12" x14ac:dyDescent="0.2">
      <c r="A353" s="9">
        <v>339</v>
      </c>
      <c r="B353" s="5">
        <f t="shared" si="29"/>
        <v>44843.831247642243</v>
      </c>
      <c r="C353" s="3">
        <f t="shared" si="25"/>
        <v>2182.9640961798141</v>
      </c>
      <c r="D353" s="5">
        <f t="shared" si="26"/>
        <v>270.93148045450522</v>
      </c>
      <c r="E353" s="3">
        <f t="shared" si="27"/>
        <v>1912.0326157253089</v>
      </c>
      <c r="F353" s="10">
        <f t="shared" si="28"/>
        <v>42931.798631916936</v>
      </c>
      <c r="L353">
        <f>200</f>
        <v>200</v>
      </c>
    </row>
    <row r="354" spans="1:12" x14ac:dyDescent="0.2">
      <c r="A354" s="9">
        <v>340</v>
      </c>
      <c r="B354" s="5">
        <f t="shared" si="29"/>
        <v>42931.798631916936</v>
      </c>
      <c r="C354" s="3">
        <f t="shared" si="25"/>
        <v>2182.9640961798141</v>
      </c>
      <c r="D354" s="5">
        <f t="shared" si="26"/>
        <v>259.37961673449814</v>
      </c>
      <c r="E354" s="3">
        <f t="shared" si="27"/>
        <v>1923.584479445316</v>
      </c>
      <c r="F354" s="10">
        <f t="shared" si="28"/>
        <v>41008.214152471621</v>
      </c>
      <c r="L354">
        <f>200</f>
        <v>200</v>
      </c>
    </row>
    <row r="355" spans="1:12" x14ac:dyDescent="0.2">
      <c r="A355" s="9">
        <v>341</v>
      </c>
      <c r="B355" s="5">
        <f t="shared" si="29"/>
        <v>41008.214152471621</v>
      </c>
      <c r="C355" s="3">
        <f t="shared" si="25"/>
        <v>2182.9640961798141</v>
      </c>
      <c r="D355" s="5">
        <f t="shared" si="26"/>
        <v>247.75796050451603</v>
      </c>
      <c r="E355" s="3">
        <f t="shared" si="27"/>
        <v>1935.2061356752981</v>
      </c>
      <c r="F355" s="10">
        <f t="shared" si="28"/>
        <v>39073.008016796324</v>
      </c>
      <c r="L355">
        <f>200</f>
        <v>200</v>
      </c>
    </row>
    <row r="356" spans="1:12" x14ac:dyDescent="0.2">
      <c r="A356" s="9">
        <v>342</v>
      </c>
      <c r="B356" s="5">
        <f t="shared" si="29"/>
        <v>39073.008016796324</v>
      </c>
      <c r="C356" s="3">
        <f t="shared" si="25"/>
        <v>2182.9640961798141</v>
      </c>
      <c r="D356" s="5">
        <f t="shared" si="26"/>
        <v>236.06609010147778</v>
      </c>
      <c r="E356" s="3">
        <f t="shared" si="27"/>
        <v>1946.8980060783363</v>
      </c>
      <c r="F356" s="10">
        <f t="shared" si="28"/>
        <v>37126.110010717988</v>
      </c>
      <c r="L356">
        <f>200</f>
        <v>200</v>
      </c>
    </row>
    <row r="357" spans="1:12" x14ac:dyDescent="0.2">
      <c r="A357" s="9">
        <v>343</v>
      </c>
      <c r="B357" s="5">
        <f t="shared" si="29"/>
        <v>37126.110010717988</v>
      </c>
      <c r="C357" s="3">
        <f t="shared" si="25"/>
        <v>2182.9640961798141</v>
      </c>
      <c r="D357" s="5">
        <f t="shared" si="26"/>
        <v>224.3035813147545</v>
      </c>
      <c r="E357" s="3">
        <f t="shared" si="27"/>
        <v>1958.6605148650597</v>
      </c>
      <c r="F357" s="10">
        <f t="shared" si="28"/>
        <v>35167.449495852925</v>
      </c>
      <c r="L357">
        <f>200</f>
        <v>200</v>
      </c>
    </row>
    <row r="358" spans="1:12" x14ac:dyDescent="0.2">
      <c r="A358" s="9">
        <v>344</v>
      </c>
      <c r="B358" s="5">
        <f t="shared" si="29"/>
        <v>35167.449495852925</v>
      </c>
      <c r="C358" s="3">
        <f t="shared" si="25"/>
        <v>2182.9640961798141</v>
      </c>
      <c r="D358" s="5">
        <f t="shared" si="26"/>
        <v>212.47000737077806</v>
      </c>
      <c r="E358" s="3">
        <f t="shared" si="27"/>
        <v>1970.4940888090359</v>
      </c>
      <c r="F358" s="10">
        <f t="shared" si="28"/>
        <v>33196.95540704389</v>
      </c>
      <c r="L358">
        <f>200</f>
        <v>200</v>
      </c>
    </row>
    <row r="359" spans="1:12" x14ac:dyDescent="0.2">
      <c r="A359" s="9">
        <v>345</v>
      </c>
      <c r="B359" s="5">
        <f t="shared" si="29"/>
        <v>33196.95540704389</v>
      </c>
      <c r="C359" s="3">
        <f t="shared" si="25"/>
        <v>2182.9640961798141</v>
      </c>
      <c r="D359" s="5">
        <f t="shared" si="26"/>
        <v>200.56493891755682</v>
      </c>
      <c r="E359" s="3">
        <f t="shared" si="27"/>
        <v>1982.3991572622572</v>
      </c>
      <c r="F359" s="10">
        <f t="shared" si="28"/>
        <v>31214.556249781632</v>
      </c>
      <c r="L359">
        <f>200</f>
        <v>200</v>
      </c>
    </row>
    <row r="360" spans="1:12" x14ac:dyDescent="0.2">
      <c r="A360" s="9">
        <v>346</v>
      </c>
      <c r="B360" s="5">
        <f t="shared" si="29"/>
        <v>31214.556249781632</v>
      </c>
      <c r="C360" s="3">
        <f t="shared" si="25"/>
        <v>2182.9640961798141</v>
      </c>
      <c r="D360" s="5">
        <f t="shared" si="26"/>
        <v>188.58794400909733</v>
      </c>
      <c r="E360" s="3">
        <f t="shared" si="27"/>
        <v>1994.3761521707168</v>
      </c>
      <c r="F360" s="10">
        <f t="shared" si="28"/>
        <v>29220.180097610915</v>
      </c>
      <c r="L360">
        <f>200</f>
        <v>200</v>
      </c>
    </row>
    <row r="361" spans="1:12" x14ac:dyDescent="0.2">
      <c r="A361" s="9">
        <v>347</v>
      </c>
      <c r="B361" s="5">
        <f t="shared" si="29"/>
        <v>29220.180097610915</v>
      </c>
      <c r="C361" s="3">
        <f t="shared" si="25"/>
        <v>2182.9640961798141</v>
      </c>
      <c r="D361" s="5">
        <f t="shared" si="26"/>
        <v>176.5385880897326</v>
      </c>
      <c r="E361" s="3">
        <f t="shared" si="27"/>
        <v>2006.4255080900814</v>
      </c>
      <c r="F361" s="10">
        <f t="shared" si="28"/>
        <v>27213.754589520835</v>
      </c>
      <c r="L361">
        <f>200</f>
        <v>200</v>
      </c>
    </row>
    <row r="362" spans="1:12" x14ac:dyDescent="0.2">
      <c r="A362" s="9">
        <v>348</v>
      </c>
      <c r="B362" s="5">
        <f t="shared" si="29"/>
        <v>27213.754589520835</v>
      </c>
      <c r="C362" s="3">
        <f t="shared" si="25"/>
        <v>2182.9640961798141</v>
      </c>
      <c r="D362" s="5">
        <f t="shared" si="26"/>
        <v>164.41643397835503</v>
      </c>
      <c r="E362" s="3">
        <f t="shared" si="27"/>
        <v>2018.5476622014589</v>
      </c>
      <c r="F362" s="10">
        <f t="shared" si="28"/>
        <v>25195.206927319377</v>
      </c>
      <c r="L362">
        <f>200</f>
        <v>200</v>
      </c>
    </row>
    <row r="363" spans="1:12" x14ac:dyDescent="0.2">
      <c r="A363" s="9">
        <v>349</v>
      </c>
      <c r="B363" s="5">
        <f t="shared" si="29"/>
        <v>25195.206927319377</v>
      </c>
      <c r="C363" s="3">
        <f t="shared" si="25"/>
        <v>2182.9640961798141</v>
      </c>
      <c r="D363" s="5">
        <f t="shared" si="26"/>
        <v>152.22104185255458</v>
      </c>
      <c r="E363" s="3">
        <f t="shared" si="27"/>
        <v>2030.7430543272594</v>
      </c>
      <c r="F363" s="10">
        <f t="shared" si="28"/>
        <v>23164.463872992117</v>
      </c>
      <c r="L363">
        <f>200</f>
        <v>200</v>
      </c>
    </row>
    <row r="364" spans="1:12" x14ac:dyDescent="0.2">
      <c r="A364" s="9">
        <v>350</v>
      </c>
      <c r="B364" s="5">
        <f t="shared" si="29"/>
        <v>23164.463872992117</v>
      </c>
      <c r="C364" s="3">
        <f t="shared" si="25"/>
        <v>2182.9640961798141</v>
      </c>
      <c r="D364" s="5">
        <f t="shared" si="26"/>
        <v>139.9519692326607</v>
      </c>
      <c r="E364" s="3">
        <f t="shared" si="27"/>
        <v>2043.0121269471533</v>
      </c>
      <c r="F364" s="10">
        <f t="shared" si="28"/>
        <v>21121.451746044964</v>
      </c>
      <c r="L364">
        <f>200</f>
        <v>200</v>
      </c>
    </row>
    <row r="365" spans="1:12" x14ac:dyDescent="0.2">
      <c r="A365" s="9">
        <v>351</v>
      </c>
      <c r="B365" s="5">
        <f t="shared" si="29"/>
        <v>21121.451746044964</v>
      </c>
      <c r="C365" s="3">
        <f t="shared" si="25"/>
        <v>2182.9640961798141</v>
      </c>
      <c r="D365" s="5">
        <f t="shared" si="26"/>
        <v>127.60877096568832</v>
      </c>
      <c r="E365" s="3">
        <f t="shared" si="27"/>
        <v>2055.355325214126</v>
      </c>
      <c r="F365" s="10">
        <f t="shared" si="28"/>
        <v>19066.09642083084</v>
      </c>
      <c r="L365">
        <f>200</f>
        <v>200</v>
      </c>
    </row>
    <row r="366" spans="1:12" x14ac:dyDescent="0.2">
      <c r="A366" s="9">
        <v>352</v>
      </c>
      <c r="B366" s="5">
        <f t="shared" si="29"/>
        <v>19066.09642083084</v>
      </c>
      <c r="C366" s="3">
        <f t="shared" si="25"/>
        <v>2182.9640961798141</v>
      </c>
      <c r="D366" s="5">
        <f t="shared" si="26"/>
        <v>115.19099920918632</v>
      </c>
      <c r="E366" s="3">
        <f t="shared" si="27"/>
        <v>2067.7730969706276</v>
      </c>
      <c r="F366" s="10">
        <f t="shared" si="28"/>
        <v>16998.323323860212</v>
      </c>
      <c r="L366">
        <f>200</f>
        <v>200</v>
      </c>
    </row>
    <row r="367" spans="1:12" x14ac:dyDescent="0.2">
      <c r="A367" s="9">
        <v>353</v>
      </c>
      <c r="B367" s="5">
        <f t="shared" si="29"/>
        <v>16998.323323860212</v>
      </c>
      <c r="C367" s="3">
        <f t="shared" si="25"/>
        <v>2182.9640961798141</v>
      </c>
      <c r="D367" s="5">
        <f t="shared" si="26"/>
        <v>102.69820341498877</v>
      </c>
      <c r="E367" s="3">
        <f t="shared" si="27"/>
        <v>2080.2658927648254</v>
      </c>
      <c r="F367" s="10">
        <f t="shared" si="28"/>
        <v>14918.057431095385</v>
      </c>
      <c r="L367">
        <f>200</f>
        <v>200</v>
      </c>
    </row>
    <row r="368" spans="1:12" x14ac:dyDescent="0.2">
      <c r="A368" s="9">
        <v>354</v>
      </c>
      <c r="B368" s="5">
        <f t="shared" si="29"/>
        <v>14918.057431095385</v>
      </c>
      <c r="C368" s="3">
        <f t="shared" si="25"/>
        <v>2182.9640961798141</v>
      </c>
      <c r="D368" s="5">
        <f t="shared" si="26"/>
        <v>90.129930312867941</v>
      </c>
      <c r="E368" s="3">
        <f t="shared" si="27"/>
        <v>2092.834165866946</v>
      </c>
      <c r="F368" s="10">
        <f t="shared" si="28"/>
        <v>12825.22326522844</v>
      </c>
      <c r="L368">
        <f>200</f>
        <v>200</v>
      </c>
    </row>
    <row r="369" spans="1:12" x14ac:dyDescent="0.2">
      <c r="A369" s="9">
        <v>355</v>
      </c>
      <c r="B369" s="5">
        <f t="shared" si="29"/>
        <v>12825.22326522844</v>
      </c>
      <c r="C369" s="3">
        <f t="shared" si="25"/>
        <v>2182.9640961798141</v>
      </c>
      <c r="D369" s="5">
        <f t="shared" si="26"/>
        <v>77.48572389408848</v>
      </c>
      <c r="E369" s="3">
        <f t="shared" si="27"/>
        <v>2105.4783722857255</v>
      </c>
      <c r="F369" s="10">
        <f t="shared" si="28"/>
        <v>10719.744892942716</v>
      </c>
      <c r="L369">
        <f>200</f>
        <v>200</v>
      </c>
    </row>
    <row r="370" spans="1:12" x14ac:dyDescent="0.2">
      <c r="A370" s="9">
        <v>356</v>
      </c>
      <c r="B370" s="5">
        <f t="shared" si="29"/>
        <v>10719.744892942716</v>
      </c>
      <c r="C370" s="3">
        <f t="shared" si="25"/>
        <v>2182.9640961798141</v>
      </c>
      <c r="D370" s="5">
        <f t="shared" si="26"/>
        <v>64.765125394862238</v>
      </c>
      <c r="E370" s="3">
        <f t="shared" si="27"/>
        <v>2118.1989707849521</v>
      </c>
      <c r="F370" s="10">
        <f t="shared" si="28"/>
        <v>8601.5459221577639</v>
      </c>
      <c r="L370">
        <f>200</f>
        <v>200</v>
      </c>
    </row>
    <row r="371" spans="1:12" x14ac:dyDescent="0.2">
      <c r="A371" s="9">
        <v>357</v>
      </c>
      <c r="B371" s="5">
        <f t="shared" si="29"/>
        <v>8601.5459221577639</v>
      </c>
      <c r="C371" s="3">
        <f t="shared" si="25"/>
        <v>2182.9640961798141</v>
      </c>
      <c r="D371" s="5">
        <f t="shared" si="26"/>
        <v>51.967673279703149</v>
      </c>
      <c r="E371" s="3">
        <f t="shared" si="27"/>
        <v>2130.9964229001107</v>
      </c>
      <c r="F371" s="10">
        <f t="shared" si="28"/>
        <v>6470.5494992576532</v>
      </c>
      <c r="L371">
        <f>200</f>
        <v>200</v>
      </c>
    </row>
    <row r="372" spans="1:12" x14ac:dyDescent="0.2">
      <c r="A372" s="9">
        <v>358</v>
      </c>
      <c r="B372" s="5">
        <f t="shared" si="29"/>
        <v>6470.5494992576532</v>
      </c>
      <c r="C372" s="3">
        <f t="shared" si="25"/>
        <v>2182.9640961798141</v>
      </c>
      <c r="D372" s="5">
        <f t="shared" si="26"/>
        <v>39.092903224681656</v>
      </c>
      <c r="E372" s="3">
        <f t="shared" si="27"/>
        <v>2143.8711929551323</v>
      </c>
      <c r="F372" s="10">
        <f t="shared" si="28"/>
        <v>4326.6783063025214</v>
      </c>
      <c r="L372">
        <f>200</f>
        <v>200</v>
      </c>
    </row>
    <row r="373" spans="1:12" x14ac:dyDescent="0.2">
      <c r="A373" s="9">
        <v>359</v>
      </c>
      <c r="B373" s="5">
        <f t="shared" si="29"/>
        <v>4326.6783063025214</v>
      </c>
      <c r="C373" s="3">
        <f t="shared" si="25"/>
        <v>2182.9640961798141</v>
      </c>
      <c r="D373" s="5">
        <f t="shared" si="26"/>
        <v>26.140348100577729</v>
      </c>
      <c r="E373" s="3">
        <f t="shared" si="27"/>
        <v>2156.8237480792363</v>
      </c>
      <c r="F373" s="10">
        <f t="shared" si="28"/>
        <v>2169.854558223285</v>
      </c>
      <c r="L373">
        <f>200</f>
        <v>200</v>
      </c>
    </row>
    <row r="374" spans="1:12" x14ac:dyDescent="0.2">
      <c r="A374" s="9">
        <v>360</v>
      </c>
      <c r="B374" s="5">
        <f t="shared" si="29"/>
        <v>2169.854558223285</v>
      </c>
      <c r="C374" s="3">
        <f t="shared" si="25"/>
        <v>2182.9640961798141</v>
      </c>
      <c r="D374" s="5">
        <f t="shared" si="26"/>
        <v>13.109537955932346</v>
      </c>
      <c r="E374" s="3">
        <f t="shared" si="27"/>
        <v>2169.8545582238817</v>
      </c>
      <c r="F374" s="10">
        <f t="shared" si="28"/>
        <v>-5.9662852436304092E-10</v>
      </c>
      <c r="L374" s="3">
        <f>200+F6</f>
        <v>1122917.4818810509</v>
      </c>
    </row>
    <row r="375" spans="1:12" ht="17" thickBot="1" x14ac:dyDescent="0.25">
      <c r="A375" s="11" t="s">
        <v>15</v>
      </c>
      <c r="B375" s="12"/>
      <c r="C375" s="13">
        <f>SUM(C15:C374)</f>
        <v>785867.07462473307</v>
      </c>
      <c r="D375" s="13">
        <f>SUM(D15:D374)</f>
        <v>465867.07462473249</v>
      </c>
      <c r="E375" s="12"/>
      <c r="F375" s="14"/>
      <c r="K375" s="15" t="s">
        <v>16</v>
      </c>
      <c r="L375" s="16">
        <f>IRR(L14:L374)</f>
        <v>7.9696230184358452E-3</v>
      </c>
    </row>
    <row r="376" spans="1:12" x14ac:dyDescent="0.2">
      <c r="K376" s="15" t="s">
        <v>17</v>
      </c>
      <c r="L376" s="17">
        <f>(1+L375)^(6)-1</f>
        <v>4.8780645976490566E-2</v>
      </c>
    </row>
    <row r="377" spans="1:12" x14ac:dyDescent="0.2">
      <c r="K377" s="15" t="s">
        <v>18</v>
      </c>
      <c r="L377" s="17">
        <f>L376*2</f>
        <v>9.7561291952981133E-2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Joshi, Anay (joshi2an)</dc:creator>
  <cp:keywords/>
  <dc:description/>
  <cp:lastModifiedBy>Joshi, Anay (joshi2an)</cp:lastModifiedBy>
  <cp:revision/>
  <dcterms:created xsi:type="dcterms:W3CDTF">2025-11-18T23:23:47Z</dcterms:created>
  <dcterms:modified xsi:type="dcterms:W3CDTF">2025-12-03T19:19:34Z</dcterms:modified>
  <cp:category/>
  <cp:contentStatus/>
</cp:coreProperties>
</file>